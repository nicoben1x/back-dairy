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jpeg" ContentType="image/jpeg"/>
  <Default Extension="png" ContentType="image/png"/>
  <Override PartName="/xl/styles.xml" ContentType="application/vnd.openxmlformats-officedocument.spreadsheetml.styles+xml"/>
  <Override PartName="/xl/drawings/drawing1.xml" ContentType="application/vnd.openxmlformats-officedocument.drawing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ctrProps/ctrProp1.xml" ContentType="application/vnd.ms-excel.controlproperties+xml"/>
  <Override PartName="/xl/ctrProps/ctrProp2.xml" ContentType="application/vnd.ms-excel.controlproperties+xml"/>
  <Override PartName="/xl/ctrProps/ctrProp3.xml" ContentType="application/vnd.ms-excel.controlproperties+xml"/>
  <Override PartName="/xl/ctrProps/ctrProp4.xml" ContentType="application/vnd.ms-excel.controlproperties+xml"/>
  <Override PartName="/xl/ctrProps/ctrProp5.xml" ContentType="application/vnd.ms-excel.controlproperties+xml"/>
  <Override PartName="/xl/ctrProps/ctrProp6.xml" ContentType="application/vnd.ms-excel.controlproperties+xml"/>
  <Override PartName="/xl/ctrProps/ctrProp7.xml" ContentType="application/vnd.ms-excel.controlproperties+xml"/>
  <Override PartName="/xl/ctrProps/ctrProp8.xml" ContentType="application/vnd.ms-excel.controlproperties+xml"/>
  <Override PartName="/xl/ctrProps/ctrProp9.xml" ContentType="application/vnd.ms-excel.controlproperties+xml"/>
  <Override PartName="/xl/ctrProps/ctrProp10.xml" ContentType="application/vnd.ms-excel.controlproperties+xml"/>
  <Override PartName="/xl/ctrProps/ctrProp11.xml" ContentType="application/vnd.ms-excel.controlproperties+xml"/>
  <Override PartName="/xl/ctrProps/ctrProp12.xml" ContentType="application/vnd.ms-excel.controlproperties+xml"/>
  <Override PartName="/xl/ctrProps/ctrProp13.xml" ContentType="application/vnd.ms-excel.controlproperties+xml"/>
  <Override PartName="/xl/drawings/drawing3.xml" ContentType="application/vnd.openxmlformats-officedocument.drawing+xml"/>
  <Default Extension="vml" ContentType="application/vnd.openxmlformats-officedocument.vmlDrawing"/>
  <Override PartName="/xl/worksheets/sheet3.xml" ContentType="application/vnd.openxmlformats-officedocument.spreadsheetml.worksheet+xml"/>
  <Override PartName="/xl/ctrProps/ctrProp14.xml" ContentType="application/vnd.ms-excel.controlproperties+xml"/>
  <Override PartName="/xl/ctrProps/ctrProp15.xml" ContentType="application/vnd.ms-excel.controlproperties+xml"/>
  <Override PartName="/xl/ctrProps/ctrProp16.xml" ContentType="application/vnd.ms-excel.controlproperties+xml"/>
  <Override PartName="/xl/ctrProps/ctrProp17.xml" ContentType="application/vnd.ms-excel.controlproperties+xml"/>
  <Override PartName="/xl/ctrProps/ctrProp18.xml" ContentType="application/vnd.ms-excel.controlproperties+xml"/>
  <Override PartName="/xl/ctrProps/ctrProp19.xml" ContentType="application/vnd.ms-excel.controlproperties+xml"/>
  <Override PartName="/xl/ctrProps/ctrProp20.xml" ContentType="application/vnd.ms-excel.controlproperties+xml"/>
  <Override PartName="/xl/drawings/drawing4.xml" ContentType="application/vnd.openxmlformats-officedocument.drawing+xml"/>
  <Override PartName="/xl/worksheets/sheet4.xml" ContentType="application/vnd.openxmlformats-officedocument.spreadsheetml.worksheet+xml"/>
  <Override PartName="/xl/ctrProps/ctrProp21.xml" ContentType="application/vnd.ms-excel.controlproperties+xml"/>
  <Override PartName="/xl/ctrProps/ctrProp22.xml" ContentType="application/vnd.ms-excel.controlproperties+xml"/>
  <Override PartName="/xl/ctrProps/ctrProp23.xml" ContentType="application/vnd.ms-excel.controlproperties+xml"/>
  <Override PartName="/xl/ctrProps/ctrProp24.xml" ContentType="application/vnd.ms-excel.controlproperties+xml"/>
  <Override PartName="/xl/ctrProps/ctrProp25.xml" ContentType="application/vnd.ms-excel.controlproperties+xml"/>
  <Override PartName="/xl/ctrProps/ctrProp26.xml" ContentType="application/vnd.ms-excel.controlproperties+xml"/>
  <Override PartName="/xl/ctrProps/ctrProp27.xml" ContentType="application/vnd.ms-excel.controlproperties+xml"/>
  <Override PartName="/xl/ctrProps/ctrProp28.xml" ContentType="application/vnd.ms-excel.controlproperties+xml"/>
  <Override PartName="/xl/ctrProps/ctrProp29.xml" ContentType="application/vnd.ms-excel.controlproperties+xml"/>
  <Override PartName="/xl/ctrProps/ctrProp30.xml" ContentType="application/vnd.ms-excel.controlproperties+xml"/>
  <Override PartName="/xl/ctrProps/ctrProp31.xml" ContentType="application/vnd.ms-excel.controlproperties+xml"/>
  <Override PartName="/xl/ctrProps/ctrProp32.xml" ContentType="application/vnd.ms-excel.controlproperties+xml"/>
  <Override PartName="/xl/ctrProps/ctrProp33.xml" ContentType="application/vnd.ms-excel.controlproperties+xml"/>
  <Override PartName="/xl/ctrProps/ctrProp34.xml" ContentType="application/vnd.ms-excel.controlproperties+xml"/>
  <Override PartName="/xl/ctrProps/ctrProp35.xml" ContentType="application/vnd.ms-excel.controlproperties+xml"/>
  <Override PartName="/xl/ctrProps/ctrProp36.xml" ContentType="application/vnd.ms-excel.controlproperties+xml"/>
  <Override PartName="/xl/ctrProps/ctrProp37.xml" ContentType="application/vnd.ms-excel.controlproperties+xml"/>
  <Override PartName="/xl/ctrProps/ctrProp38.xml" ContentType="application/vnd.ms-excel.controlproperties+xml"/>
  <Override PartName="/xl/ctrProps/ctrProp39.xml" ContentType="application/vnd.ms-excel.controlproperties+xml"/>
  <Override PartName="/xl/drawings/drawing5.xml" ContentType="application/vnd.openxmlformats-officedocument.drawing+xml"/>
  <Override PartName="/xl/worksheets/sheet5.xml" ContentType="application/vnd.openxmlformats-officedocument.spreadsheetml.worksheet+xml"/>
  <Override PartName="/xl/ctrProps/ctrProp40.xml" ContentType="application/vnd.ms-excel.controlproperties+xml"/>
  <Override PartName="/xl/ctrProps/ctrProp41.xml" ContentType="application/vnd.ms-excel.controlproperties+xml"/>
  <Override PartName="/xl/ctrProps/ctrProp42.xml" ContentType="application/vnd.ms-excel.controlproperties+xml"/>
  <Override PartName="/xl/ctrProps/ctrProp43.xml" ContentType="application/vnd.ms-excel.controlproperties+xml"/>
  <Override PartName="/xl/ctrProps/ctrProp44.xml" ContentType="application/vnd.ms-excel.controlproperti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ctrProps/ctrProp45.xml" ContentType="application/vnd.ms-excel.controlproperties+xml"/>
  <Override PartName="/xl/ctrProps/ctrProp46.xml" ContentType="application/vnd.ms-excel.controlproperties+xml"/>
  <Override PartName="/xl/ctrProps/ctrProp47.xml" ContentType="application/vnd.ms-excel.controlproperties+xml"/>
  <Override PartName="/xl/drawings/drawing7.xml" ContentType="application/vnd.openxmlformats-officedocument.drawing+xml"/>
  <Override PartName="/xl/worksheets/sheet7.xml" ContentType="application/vnd.openxmlformats-officedocument.spreadsheetml.worksheet+xml"/>
  <Override PartName="/xl/ctrProps/ctrProp48.xml" ContentType="application/vnd.ms-excel.controlproperties+xml"/>
  <Override PartName="/xl/ctrProps/ctrProp49.xml" ContentType="application/vnd.ms-excel.controlproperties+xml"/>
  <Override PartName="/xl/ctrProps/ctrProp50.xml" ContentType="application/vnd.ms-excel.controlproperties+xml"/>
  <Override PartName="/xl/ctrProps/ctrProp51.xml" ContentType="application/vnd.ms-excel.controlproperties+xml"/>
  <Override PartName="/xl/ctrProps/ctrProp52.xml" ContentType="application/vnd.ms-excel.controlproperties+xml"/>
  <Override PartName="/xl/ctrProps/ctrProp53.xml" ContentType="application/vnd.ms-excel.controlproperties+xml"/>
  <Override PartName="/xl/ctrProps/ctrProp54.xml" ContentType="application/vnd.ms-excel.controlproperties+xml"/>
  <Override PartName="/xl/ctrProps/ctrProp55.xml" ContentType="application/vnd.ms-excel.controlproperties+xml"/>
  <Override PartName="/xl/ctrProps/ctrProp56.xml" ContentType="application/vnd.ms-excel.controlproperties+xml"/>
  <Override PartName="/xl/ctrProps/ctrProp57.xml" ContentType="application/vnd.ms-excel.controlproperties+xml"/>
  <Override PartName="/xl/ctrProps/ctrProp58.xml" ContentType="application/vnd.ms-excel.controlproperties+xml"/>
  <Override PartName="/xl/ctrProps/ctrProp59.xml" ContentType="application/vnd.ms-excel.controlproperties+xml"/>
  <Override PartName="/xl/ctrProps/ctrProp60.xml" ContentType="application/vnd.ms-excel.controlproperties+xml"/>
  <Override PartName="/xl/ctrProps/ctrProp61.xml" ContentType="application/vnd.ms-excel.controlproperties+xml"/>
  <Override PartName="/xl/ctrProps/ctrProp62.xml" ContentType="application/vnd.ms-excel.controlproperties+xml"/>
  <Override PartName="/xl/ctrProps/ctrProp63.xml" ContentType="application/vnd.ms-excel.controlproperties+xml"/>
  <Override PartName="/xl/ctrProps/ctrProp64.xml" ContentType="application/vnd.ms-excel.controlproperties+xml"/>
  <Override PartName="/xl/ctrProps/ctrProp65.xml" ContentType="application/vnd.ms-excel.controlproperties+xml"/>
  <Override PartName="/xl/ctrProps/ctrProp66.xml" ContentType="application/vnd.ms-excel.controlproperties+xml"/>
  <Override PartName="/xl/ctrProps/ctrProp67.xml" ContentType="application/vnd.ms-excel.controlproperties+xml"/>
  <Override PartName="/xl/ctrProps/ctrProp68.xml" ContentType="application/vnd.ms-excel.controlproperties+xml"/>
  <Override PartName="/xl/ctrProps/ctrProp69.xml" ContentType="application/vnd.ms-excel.controlproperties+xml"/>
  <Override PartName="/xl/ctrProps/ctrProp70.xml" ContentType="application/vnd.ms-excel.controlproperties+xml"/>
  <Override PartName="/xl/ctrProps/ctrProp71.xml" ContentType="application/vnd.ms-excel.controlproperties+xml"/>
  <Override PartName="/xl/ctrProps/ctrProp72.xml" ContentType="application/vnd.ms-excel.controlproperties+xml"/>
  <Override PartName="/xl/drawings/drawing8.xml" ContentType="application/vnd.openxmlformats-officedocument.drawing+xml"/>
  <Override PartName="/xl/worksheets/sheet8.xml" ContentType="application/vnd.openxmlformats-officedocument.spreadsheetml.worksheet+xml"/>
  <Override PartName="/xl/ctrProps/ctrProp73.xml" ContentType="application/vnd.ms-excel.controlproperties+xml"/>
  <Override PartName="/xl/ctrProps/ctrProp74.xml" ContentType="application/vnd.ms-excel.controlproperties+xml"/>
  <Override PartName="/xl/ctrProps/ctrProp75.xml" ContentType="application/vnd.ms-excel.controlproperties+xml"/>
  <Override PartName="/xl/ctrProps/ctrProp76.xml" ContentType="application/vnd.ms-excel.controlproperties+xml"/>
  <Override PartName="/xl/ctrProps/ctrProp77.xml" ContentType="application/vnd.ms-excel.controlproperties+xml"/>
  <Override PartName="/xl/ctrProps/ctrProp78.xml" ContentType="application/vnd.ms-excel.controlproperties+xml"/>
  <Override PartName="/xl/ctrProps/ctrProp79.xml" ContentType="application/vnd.ms-excel.controlproperties+xml"/>
  <Override PartName="/xl/ctrProps/ctrProp80.xml" ContentType="application/vnd.ms-excel.controlproperties+xml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ctrProps/ctrProp81.xml" ContentType="application/vnd.ms-excel.controlproperties+xml"/>
  <Override PartName="/xl/ctrProps/ctrProp82.xml" ContentType="application/vnd.ms-excel.controlproperties+xml"/>
  <Override PartName="/xl/ctrProps/ctrProp83.xml" ContentType="application/vnd.ms-excel.controlproperties+xml"/>
  <Override PartName="/xl/ctrProps/ctrProp84.xml" ContentType="application/vnd.ms-excel.controlproperties+xml"/>
  <Override PartName="/xl/ctrProps/ctrProp85.xml" ContentType="application/vnd.ms-excel.controlproperties+xml"/>
  <Override PartName="/xl/ctrProps/ctrProp86.xml" ContentType="application/vnd.ms-excel.controlproperties+xml"/>
  <Override PartName="/xl/ctrProps/ctrProp87.xml" ContentType="application/vnd.ms-excel.controlproperties+xml"/>
  <Override PartName="/xl/ctrProps/ctrProp88.xml" ContentType="application/vnd.ms-excel.controlproperties+xml"/>
  <Override PartName="/xl/ctrProps/ctrProp89.xml" ContentType="application/vnd.ms-excel.controlproperties+xml"/>
  <Override PartName="/xl/drawings/drawing10.xml" ContentType="application/vnd.openxmlformats-officedocument.drawing+xml"/>
  <Override PartName="/xl/worksheets/sheet10.xml" ContentType="application/vnd.openxmlformats-officedocument.spreadsheetml.worksheet+xml"/>
  <Override PartName="/xl/ctrProps/ctrProp90.xml" ContentType="application/vnd.ms-excel.controlproperties+xml"/>
  <Override PartName="/xl/drawings/drawing11.xml" ContentType="application/vnd.openxmlformats-officedocument.drawing+xml"/>
  <Override PartName="/xl/worksheets/sheet11.xml" ContentType="application/vnd.openxmlformats-officedocument.spreadsheetml.worksheet+xml"/>
  <Override PartName="/xl/ctrProps/ctrProp91.xml" ContentType="application/vnd.ms-excel.controlproperties+xml"/>
  <Override PartName="/xl/ctrProps/ctrProp92.xml" ContentType="application/vnd.ms-excel.controlproperties+xml"/>
  <Override PartName="/xl/ctrProps/ctrProp93.xml" ContentType="application/vnd.ms-excel.controlproperties+xml"/>
  <Override PartName="/xl/ctrProps/ctrProp94.xml" ContentType="application/vnd.ms-excel.controlproperties+xml"/>
  <Override PartName="/xl/ctrProps/ctrProp95.xml" ContentType="application/vnd.ms-excel.controlproperties+xml"/>
  <Override PartName="/xl/ctrProps/ctrProp96.xml" ContentType="application/vnd.ms-excel.controlproperties+xml"/>
  <Override PartName="/xl/ctrProps/ctrProp97.xml" ContentType="application/vnd.ms-excel.controlproperties+xml"/>
  <Override PartName="/xl/ctrProps/ctrProp98.xml" ContentType="application/vnd.ms-excel.controlproperties+xml"/>
  <Override PartName="/xl/ctrProps/ctrProp99.xml" ContentType="application/vnd.ms-excel.controlproperties+xml"/>
  <Override PartName="/xl/ctrProps/ctrProp100.xml" ContentType="application/vnd.ms-excel.controlproperties+xml"/>
  <Override PartName="/xl/ctrProps/ctrProp101.xml" ContentType="application/vnd.ms-excel.controlproperties+xml"/>
  <Override PartName="/xl/ctrProps/ctrProp102.xml" ContentType="application/vnd.ms-excel.controlproperties+xml"/>
  <Override PartName="/xl/ctrProps/ctrProp103.xml" ContentType="application/vnd.ms-excel.controlproperties+xml"/>
  <Override PartName="/xl/drawings/drawing12.xml" ContentType="application/vnd.openxmlformats-officedocument.drawing+xml"/>
  <Override PartName="/xl/worksheets/sheet12.xml" ContentType="application/vnd.openxmlformats-officedocument.spreadsheetml.worksheet+xml"/>
  <Override PartName="/xl/ctrProps/ctrProp104.xml" ContentType="application/vnd.ms-excel.controlproperties+xml"/>
  <Override PartName="/xl/ctrProps/ctrProp105.xml" ContentType="application/vnd.ms-excel.controlproperties+xml"/>
  <Override PartName="/xl/ctrProps/ctrProp106.xml" ContentType="application/vnd.ms-excel.controlproperties+xml"/>
  <Override PartName="/xl/ctrProps/ctrProp107.xml" ContentType="application/vnd.ms-excel.controlproperties+xml"/>
  <Override PartName="/xl/ctrProps/ctrProp108.xml" ContentType="application/vnd.ms-excel.controlproperties+xml"/>
  <Override PartName="/xl/ctrProps/ctrProp109.xml" ContentType="application/vnd.ms-excel.controlproperties+xml"/>
  <Override PartName="/xl/ctrProps/ctrProp110.xml" ContentType="application/vnd.ms-excel.controlproperties+xml"/>
  <Override PartName="/xl/drawings/drawing13.xml" ContentType="application/vnd.openxmlformats-officedocument.drawing+xml"/>
  <Override PartName="/xl/worksheets/sheet13.xml" ContentType="application/vnd.openxmlformats-officedocument.spreadsheetml.worksheet+xml"/>
  <Override PartName="/xl/ctrProps/ctrProp111.xml" ContentType="application/vnd.ms-excel.controlproperties+xml"/>
  <Override PartName="/xl/drawings/drawing14.xml" ContentType="application/vnd.openxmlformats-officedocument.drawing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ctrProps/ctrProp112.xml" ContentType="application/vnd.ms-excel.controlproperties+xml"/>
  <Override PartName="/xl/ctrProps/ctrProp113.xml" ContentType="application/vnd.ms-excel.controlproperties+xml"/>
  <Override PartName="/xl/ctrProps/ctrProp114.xml" ContentType="application/vnd.ms-excel.controlproperties+xml"/>
  <Override PartName="/xl/ctrProps/ctrProp115.xml" ContentType="application/vnd.ms-excel.controlproperties+xml"/>
  <Override PartName="/xl/ctrProps/ctrProp116.xml" ContentType="application/vnd.ms-excel.controlproperties+xml"/>
  <Override PartName="/xl/ctrProps/ctrProp117.xml" ContentType="application/vnd.ms-excel.controlproperties+xml"/>
  <Override PartName="/xl/ctrProps/ctrProp118.xml" ContentType="application/vnd.ms-excel.controlproperties+xml"/>
  <Override PartName="/xl/ctrProps/ctrProp119.xml" ContentType="application/vnd.ms-excel.controlproperties+xml"/>
  <Override PartName="/xl/drawings/drawing15.xml" ContentType="application/vnd.openxmlformats-officedocument.drawing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bookViews>
    <workbookView xWindow="-105" yWindow="-105" windowWidth="19425" windowHeight="10425" firstSheet="8" activeTab="1"/>
  </bookViews>
  <sheets>
    <sheet name="Lista de precios" sheetId="9" r:id="rId3"/>
    <sheet name="Quimicos" sheetId="14" r:id="rId4"/>
    <sheet name="presu" sheetId="1" r:id="rId5"/>
    <sheet name="Unidad de ordeñe" sheetId="3" r:id="rId6"/>
    <sheet name="bombas" sheetId="2" r:id="rId7"/>
    <sheet name="pulsado" sheetId="4" r:id="rId8"/>
    <sheet name="Placas, Filtros Lavadora,Recupe" sheetId="5" r:id="rId9"/>
    <sheet name="Unidad Final" sheetId="6" r:id="rId10"/>
    <sheet name="Extractores, indicadores" sheetId="7" r:id="rId11"/>
    <sheet name="ISO ID - SortGate" sheetId="13" r:id="rId12"/>
    <sheet name="Robot" sheetId="21" r:id="rId13"/>
    <sheet name="cañerias" sheetId="22" r:id="rId14"/>
    <sheet name="Formulario pedido" sheetId="10" r:id="rId15"/>
    <sheet name="Packing list" sheetId="11" r:id="rId16"/>
    <sheet name="Base" sheetId="8" r:id="rId17"/>
    <sheet name="presu cliente" sheetId="20" r:id="rId18"/>
    <sheet name="Hoja1" sheetId="23" r:id="rId19"/>
  </sheets>
  <externalReferences>
    <externalReference r:id="rId22"/>
  </externalReferences>
  <definedNames>
    <definedName name="_xlnm._FilterDatabase" localSheetId="2" hidden="1">presu!$A$15:$F$517</definedName>
    <definedName name="_xlnm._FilterDatabase" localSheetId="15" hidden="1">'presu cliente'!$A$15:$F$316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8" l="1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<sst xmlns="http://schemas.openxmlformats.org/spreadsheetml/2006/main" count="4177" uniqueCount="2267">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</sst>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2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4999170303345"/>
      <name val="Calibri"/>
      <family val="2"/>
      <scheme val="minor"/>
    </font>
    <font>
      <sz val="10"/>
      <color theme="0" tint="-0.49994999170303345"/>
      <name val="Calibri"/>
      <family val="2"/>
      <scheme val="minor"/>
    </font>
    <font>
      <u val="single"/>
      <sz val="11"/>
      <color theme="10"/>
      <name val="Calibri"/>
      <family val="2"/>
      <scheme val="minor"/>
    </font>
    <font>
      <u val="single"/>
      <sz val="14"/>
      <color theme="10"/>
      <name val="Calibri"/>
      <family val="2"/>
      <scheme val="minor"/>
    </font>
    <font>
      <u val="single"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 val="single"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0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3" tint="0.599990010261535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8000264167786"/>
        <bgColor indexed="64"/>
      </patternFill>
    </fill>
    <fill>
      <patternFill patternType="solid">
        <fgColor theme="0" tint="-0.1499699950218200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9001026153564"/>
        <bgColor indexed="64"/>
      </patternFill>
    </fill>
    <fill>
      <patternFill patternType="solid">
        <fgColor theme="0" tint="-0.24995000660419464"/>
        <bgColor indexed="64"/>
      </patternFill>
    </fill>
    <fill>
      <patternFill patternType="solid">
        <fgColor theme="8" tint="0.39998000860214233"/>
        <bgColor indexed="64"/>
      </patternFill>
    </fill>
    <fill>
      <patternFill patternType="solid">
        <fgColor theme="0" tint="-0.34995999932289124"/>
        <bgColor indexed="64"/>
      </patternFill>
    </fill>
    <fill>
      <patternFill patternType="solid">
        <fgColor theme="0" tint="-0.499949991703033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thick">
        <color indexed="62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30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62"/>
      </top>
      <bottom style="double">
        <color indexed="62"/>
      </bottom>
    </border>
    <border>
      <left style="medium">
        <color auto="1"/>
      </left>
      <right/>
      <top/>
      <bottom style="medium">
        <color auto="1"/>
      </bottom>
    </border>
    <border>
      <left style="medium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 style="medium">
        <color auto="1"/>
      </right>
      <top/>
      <bottom style="thin">
        <color auto="1"/>
      </bottom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medium">
        <color auto="1"/>
      </right>
      <top style="thin">
        <color auto="1"/>
      </top>
      <bottom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</border>
    <border>
      <left style="medium">
        <color auto="1"/>
      </left>
      <right style="thin">
        <color auto="1"/>
      </right>
      <top style="medium">
        <color auto="1"/>
      </top>
      <bottom/>
    </border>
    <border>
      <left style="thin">
        <color auto="1"/>
      </left>
      <right style="thin">
        <color auto="1"/>
      </right>
      <top style="medium">
        <color auto="1"/>
      </top>
      <bottom/>
    </border>
    <border>
      <left style="thin">
        <color auto="1"/>
      </left>
      <right/>
      <top style="medium">
        <color auto="1"/>
      </top>
      <bottom/>
    </border>
    <border>
      <left style="medium">
        <color auto="1"/>
      </left>
      <right/>
      <top style="medium">
        <color auto="1"/>
      </top>
      <bottom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/>
      <bottom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</border>
    <border>
      <left style="medium">
        <color auto="1"/>
      </left>
      <right/>
      <top/>
      <bottom/>
    </border>
    <border>
      <left style="thin">
        <color auto="1"/>
      </left>
      <right style="medium">
        <color auto="1"/>
      </right>
      <top/>
      <bottom style="medium">
        <color auto="1"/>
      </bottom>
    </border>
    <border>
      <left style="medium">
        <color auto="1"/>
      </left>
      <right style="thin">
        <color auto="1"/>
      </right>
      <top/>
      <bottom style="medium">
        <color auto="1"/>
      </bottom>
    </border>
    <border>
      <left/>
      <right/>
      <top style="thin">
        <color auto="1"/>
      </top>
      <bottom style="thin">
        <color auto="1"/>
      </bottom>
    </border>
    <border>
      <left/>
      <right style="thin">
        <color auto="1"/>
      </right>
      <top/>
      <bottom/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</border>
    <border>
      <left/>
      <right style="medium">
        <color auto="1"/>
      </right>
      <top/>
      <bottom/>
    </border>
    <border>
      <left/>
      <right style="medium">
        <color auto="1"/>
      </right>
      <top style="medium">
        <color auto="1"/>
      </top>
      <bottom/>
    </border>
    <border>
      <left style="thin">
        <color auto="1"/>
      </left>
      <right style="thin">
        <color auto="1"/>
      </right>
      <top/>
      <bottom style="medium">
        <color auto="1"/>
      </bottom>
    </border>
    <border>
      <left/>
      <right style="medium">
        <color auto="1"/>
      </right>
      <top/>
      <bottom style="medium">
        <color auto="1"/>
      </bottom>
    </border>
    <border>
      <left/>
      <right/>
      <top style="thin">
        <color auto="1"/>
      </top>
      <bottom/>
    </border>
    <border>
      <left/>
      <right style="thin">
        <color auto="1"/>
      </right>
      <top/>
      <bottom style="thin">
        <color auto="1"/>
      </bottom>
    </border>
    <border>
      <left style="thin">
        <color indexed="8"/>
      </left>
      <right/>
      <top style="thin">
        <color indexed="8"/>
      </top>
      <bottom style="thin">
        <color indexed="8"/>
      </bottom>
    </border>
    <border>
      <left style="medium">
        <color auto="1"/>
      </left>
      <right/>
      <top style="thin">
        <color auto="1"/>
      </top>
      <bottom style="thin">
        <color auto="1"/>
      </bottom>
    </border>
    <border>
      <left/>
      <right/>
      <top/>
      <bottom style="medium">
        <color auto="1"/>
      </bottom>
    </border>
    <border>
      <left/>
      <right/>
      <top style="medium">
        <color auto="1"/>
      </top>
      <bottom/>
    </border>
  </borders>
  <cellStyleXfs count="89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64" fontId="0" fillId="0" borderId="0" applyFont="0" applyFill="0" applyBorder="0" applyAlignment="0" applyProtection="0"/>
    <xf numFmtId="165" fontId="0" fillId="0" borderId="0" applyFont="0" applyFill="0" applyBorder="0" applyAlignment="0" applyProtection="0"/>
    <xf numFmtId="0" fontId="9" fillId="0" borderId="0">
      <alignment/>
      <protection/>
    </xf>
    <xf numFmtId="0" fontId="0" fillId="0" borderId="0">
      <alignment/>
      <protection/>
    </xf>
    <xf numFmtId="0" fontId="9" fillId="0" borderId="0">
      <alignment vertical="center"/>
      <protection/>
    </xf>
    <xf numFmtId="0" fontId="9" fillId="0" borderId="0">
      <alignment/>
      <protection/>
    </xf>
    <xf numFmtId="0" fontId="12" fillId="0" borderId="0">
      <alignment/>
      <protection/>
    </xf>
    <xf numFmtId="0" fontId="15" fillId="0" borderId="0">
      <alignment/>
      <protection/>
    </xf>
    <xf numFmtId="0" fontId="9" fillId="0" borderId="0">
      <alignment/>
      <protection/>
    </xf>
    <xf numFmtId="0" fontId="15" fillId="0" borderId="0">
      <alignment/>
      <protection/>
    </xf>
    <xf numFmtId="0" fontId="15" fillId="0" borderId="0">
      <alignment/>
      <protection/>
    </xf>
    <xf numFmtId="171" fontId="0" fillId="0" borderId="0">
      <alignment/>
      <protection/>
    </xf>
    <xf numFmtId="170" fontId="0" fillId="0" borderId="0" applyFont="0" applyFill="0" applyBorder="0" applyAlignment="0" applyProtection="0"/>
    <xf numFmtId="171" fontId="9" fillId="0" borderId="0">
      <alignment/>
      <protection/>
    </xf>
    <xf numFmtId="171" fontId="1" fillId="0" borderId="0">
      <alignment/>
      <protection/>
    </xf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0" fontId="25" fillId="3" borderId="0" applyNumberFormat="0" applyBorder="0" applyAlignment="0" applyProtection="0"/>
    <xf numFmtId="0" fontId="26" fillId="20" borderId="1" applyNumberFormat="0" applyAlignment="0" applyProtection="0"/>
    <xf numFmtId="0" fontId="27" fillId="21" borderId="2" applyNumberFormat="0" applyAlignment="0" applyProtection="0"/>
    <xf numFmtId="164" fontId="23" fillId="0" borderId="0" applyFont="0" applyFill="0" applyBorder="0" applyAlignment="0" applyProtection="0"/>
    <xf numFmtId="49" fontId="21" fillId="22" borderId="3">
      <alignment horizontal="left" vertical="center"/>
      <protection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0" borderId="4" applyNumberFormat="0" applyFill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2" fillId="0" borderId="0" applyNumberFormat="0" applyFill="0" applyBorder="0" applyAlignment="0" applyProtection="0"/>
    <xf numFmtId="0" fontId="33" fillId="7" borderId="1" applyNumberFormat="0" applyAlignment="0" applyProtection="0"/>
    <xf numFmtId="0" fontId="34" fillId="0" borderId="7" applyNumberFormat="0" applyFill="0" applyAlignment="0" applyProtection="0"/>
    <xf numFmtId="0" fontId="35" fillId="23" borderId="0" applyNumberFormat="0" applyBorder="0" applyAlignment="0" applyProtection="0"/>
    <xf numFmtId="0" fontId="9" fillId="24" borderId="8" applyNumberFormat="0" applyFont="0" applyAlignment="0" applyProtection="0"/>
    <xf numFmtId="171" fontId="21" fillId="0" borderId="3" applyFill="0">
      <alignment horizontal="center" vertical="center"/>
      <protection/>
    </xf>
    <xf numFmtId="171" fontId="21" fillId="0" borderId="9" applyBorder="0">
      <alignment horizontal="center" vertical="center" wrapText="1"/>
      <protection/>
    </xf>
    <xf numFmtId="0" fontId="36" fillId="20" borderId="10" applyNumberFormat="0" applyAlignment="0" applyProtection="0"/>
    <xf numFmtId="171" fontId="22" fillId="20" borderId="3">
      <alignment horizontal="center" vertical="center"/>
      <protection/>
    </xf>
    <xf numFmtId="0" fontId="37" fillId="0" borderId="0" applyNumberFormat="0" applyFill="0" applyBorder="0" applyAlignment="0" applyProtection="0"/>
    <xf numFmtId="0" fontId="38" fillId="0" borderId="11" applyNumberFormat="0" applyFill="0" applyAlignment="0" applyProtection="0"/>
    <xf numFmtId="0" fontId="39" fillId="0" borderId="0" applyNumberFormat="0" applyFill="0" applyBorder="0" applyAlignment="0" applyProtection="0"/>
    <xf numFmtId="171" fontId="0" fillId="0" borderId="0">
      <alignment/>
      <protection/>
    </xf>
    <xf numFmtId="171" fontId="0" fillId="0" borderId="0">
      <alignment/>
      <protection/>
    </xf>
    <xf numFmtId="171" fontId="0" fillId="0" borderId="0">
      <alignment/>
      <protection/>
    </xf>
    <xf numFmtId="171" fontId="0" fillId="0" borderId="0">
      <alignment/>
      <protection/>
    </xf>
    <xf numFmtId="171" fontId="0" fillId="0" borderId="0">
      <alignment/>
      <protection/>
    </xf>
    <xf numFmtId="0" fontId="42" fillId="0" borderId="0" applyNumberFormat="0" applyFill="0" applyBorder="0" applyAlignment="0" applyProtection="0"/>
  </cellStyleXfs>
  <cellXfs count="496">
    <xf numFmtId="0" fontId="0" fillId="0" borderId="0" xfId="0"/>
    <xf numFmtId="0" fontId="2" fillId="25" borderId="12" xfId="0" applyFont="1" applyFill="1" applyBorder="1"/>
    <xf numFmtId="0" fontId="4" fillId="0" borderId="13" xfId="0" applyFont="1" applyBorder="1" applyAlignment="1">
      <alignment horizontal="center"/>
    </xf>
    <xf numFmtId="0" fontId="0" fillId="26" borderId="14" xfId="0" applyFill="1" applyBorder="1" applyAlignment="1">
      <alignment horizontal="center"/>
    </xf>
    <xf numFmtId="164" fontId="4" fillId="0" borderId="15" xfId="2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0" fillId="26" borderId="3" xfId="0" applyFill="1" applyBorder="1" applyAlignment="1">
      <alignment horizontal="center"/>
    </xf>
    <xf numFmtId="164" fontId="4" fillId="0" borderId="17" xfId="2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0" fillId="26" borderId="9" xfId="0" applyFill="1" applyBorder="1" applyAlignment="1">
      <alignment horizontal="center"/>
    </xf>
    <xf numFmtId="164" fontId="4" fillId="0" borderId="19" xfId="20" applyFont="1" applyBorder="1" applyAlignment="1">
      <alignment horizontal="center"/>
    </xf>
    <xf numFmtId="0" fontId="0" fillId="27" borderId="9" xfId="0" applyFill="1" applyBorder="1" applyAlignment="1">
      <alignment horizontal="center"/>
    </xf>
    <xf numFmtId="0" fontId="0" fillId="28" borderId="0" xfId="0" applyFill="1"/>
    <xf numFmtId="0" fontId="4" fillId="0" borderId="20" xfId="0" applyFont="1" applyBorder="1" applyAlignment="1">
      <alignment horizontal="center"/>
    </xf>
    <xf numFmtId="0" fontId="0" fillId="26" borderId="21" xfId="0" applyFill="1" applyBorder="1" applyAlignment="1">
      <alignment horizontal="center"/>
    </xf>
    <xf numFmtId="164" fontId="4" fillId="0" borderId="22" xfId="20" applyFont="1" applyBorder="1" applyAlignment="1">
      <alignment horizontal="center"/>
    </xf>
    <xf numFmtId="0" fontId="4" fillId="0" borderId="3" xfId="0" applyFont="1" applyBorder="1"/>
    <xf numFmtId="0" fontId="0" fillId="27" borderId="21" xfId="0" applyFill="1" applyBorder="1"/>
    <xf numFmtId="0" fontId="0" fillId="27" borderId="3" xfId="0" applyFill="1" applyBorder="1"/>
    <xf numFmtId="0" fontId="0" fillId="27" borderId="23" xfId="0" applyFill="1" applyBorder="1"/>
    <xf numFmtId="0" fontId="3" fillId="29" borderId="3" xfId="0" applyFont="1" applyFill="1" applyBorder="1" applyAlignment="1">
      <alignment horizontal="center"/>
    </xf>
    <xf numFmtId="164" fontId="3" fillId="29" borderId="15" xfId="20" applyFont="1" applyFill="1" applyBorder="1" applyAlignment="1">
      <alignment horizontal="center"/>
    </xf>
    <xf numFmtId="0" fontId="4" fillId="29" borderId="3" xfId="0" applyFont="1" applyFill="1" applyBorder="1" applyAlignment="1">
      <alignment horizontal="center"/>
    </xf>
    <xf numFmtId="164" fontId="4" fillId="29" borderId="15" xfId="20" applyFont="1" applyFill="1" applyBorder="1" applyAlignment="1">
      <alignment horizontal="center"/>
    </xf>
    <xf numFmtId="0" fontId="4" fillId="26" borderId="3" xfId="0" applyFont="1" applyFill="1" applyBorder="1" applyAlignment="1">
      <alignment horizontal="center"/>
    </xf>
    <xf numFmtId="164" fontId="4" fillId="0" borderId="15" xfId="20" applyFont="1" applyFill="1" applyBorder="1" applyAlignment="1">
      <alignment horizontal="center"/>
    </xf>
    <xf numFmtId="0" fontId="4" fillId="26" borderId="9" xfId="0" applyFont="1" applyFill="1" applyBorder="1" applyAlignment="1">
      <alignment horizontal="center"/>
    </xf>
    <xf numFmtId="0" fontId="3" fillId="29" borderId="21" xfId="0" applyFont="1" applyFill="1" applyBorder="1" applyAlignment="1">
      <alignment horizontal="center"/>
    </xf>
    <xf numFmtId="164" fontId="3" fillId="29" borderId="22" xfId="20" applyFont="1" applyFill="1" applyBorder="1" applyAlignment="1">
      <alignment horizontal="center"/>
    </xf>
    <xf numFmtId="0" fontId="4" fillId="29" borderId="9" xfId="0" applyFont="1" applyFill="1" applyBorder="1" applyAlignment="1">
      <alignment horizontal="center"/>
    </xf>
    <xf numFmtId="0" fontId="4" fillId="26" borderId="14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7" fillId="30" borderId="24" xfId="0" applyFont="1" applyFill="1" applyBorder="1" applyAlignment="1">
      <alignment horizontal="center" wrapText="1"/>
    </xf>
    <xf numFmtId="0" fontId="7" fillId="30" borderId="25" xfId="0" applyFont="1" applyFill="1" applyBorder="1" applyAlignment="1">
      <alignment horizontal="center" wrapText="1"/>
    </xf>
    <xf numFmtId="2" fontId="8" fillId="31" borderId="3" xfId="0" applyNumberFormat="1" applyFont="1" applyFill="1" applyBorder="1"/>
    <xf numFmtId="0" fontId="8" fillId="31" borderId="3" xfId="0" applyFont="1" applyFill="1" applyBorder="1" applyAlignment="1">
      <alignment horizontal="center"/>
    </xf>
    <xf numFmtId="0" fontId="8" fillId="31" borderId="3" xfId="0" applyFont="1" applyFill="1" applyBorder="1"/>
    <xf numFmtId="0" fontId="8" fillId="31" borderId="3" xfId="22" applyFont="1" applyFill="1" applyBorder="1" applyAlignment="1">
      <alignment horizontal="center"/>
      <protection/>
    </xf>
    <xf numFmtId="0" fontId="10" fillId="31" borderId="3" xfId="23" applyFont="1" applyFill="1" applyBorder="1" applyAlignment="1">
      <alignment horizontal="center"/>
      <protection/>
    </xf>
    <xf numFmtId="0" fontId="8" fillId="31" borderId="3" xfId="23" applyFont="1" applyFill="1" applyBorder="1" applyAlignment="1">
      <alignment horizontal="center"/>
      <protection/>
    </xf>
    <xf numFmtId="2" fontId="0" fillId="31" borderId="3" xfId="0" applyNumberFormat="1" applyFill="1" applyBorder="1"/>
    <xf numFmtId="0" fontId="11" fillId="31" borderId="3" xfId="25" applyFont="1" applyFill="1" applyBorder="1" applyAlignment="1">
      <alignment horizontal="center"/>
      <protection/>
    </xf>
    <xf numFmtId="0" fontId="13" fillId="31" borderId="3" xfId="26" applyFont="1" applyFill="1" applyBorder="1">
      <alignment/>
      <protection/>
    </xf>
    <xf numFmtId="49" fontId="8" fillId="31" borderId="3" xfId="0" applyNumberFormat="1" applyFont="1" applyFill="1" applyBorder="1" applyAlignment="1">
      <alignment horizontal="center"/>
    </xf>
    <xf numFmtId="0" fontId="14" fillId="31" borderId="3" xfId="22" applyFont="1" applyFill="1" applyBorder="1" applyAlignment="1">
      <alignment horizontal="center"/>
      <protection/>
    </xf>
    <xf numFmtId="0" fontId="8" fillId="31" borderId="3" xfId="0" applyFont="1" applyFill="1" applyBorder="1" applyAlignment="1" applyProtection="1">
      <alignment horizontal="center" vertical="center"/>
      <protection hidden="1"/>
    </xf>
    <xf numFmtId="0" fontId="16" fillId="31" borderId="3" xfId="0" applyFont="1" applyFill="1" applyBorder="1" applyAlignment="1">
      <alignment horizontal="center"/>
    </xf>
    <xf numFmtId="49" fontId="8" fillId="31" borderId="3" xfId="0" applyNumberFormat="1" applyFont="1" applyFill="1" applyBorder="1" applyAlignment="1">
      <alignment horizontal="center" wrapText="1"/>
    </xf>
    <xf numFmtId="167" fontId="8" fillId="31" borderId="3" xfId="21" applyNumberFormat="1" applyFont="1" applyFill="1" applyBorder="1" applyAlignment="1">
      <alignment horizontal="right"/>
    </xf>
    <xf numFmtId="168" fontId="8" fillId="31" borderId="3" xfId="0" applyNumberFormat="1" applyFont="1" applyFill="1" applyBorder="1"/>
    <xf numFmtId="0" fontId="11" fillId="31" borderId="3" xfId="28" applyFont="1" applyFill="1" applyBorder="1">
      <alignment/>
      <protection/>
    </xf>
    <xf numFmtId="0" fontId="11" fillId="31" borderId="3" xfId="29" applyFont="1" applyFill="1" applyBorder="1">
      <alignment/>
      <protection/>
    </xf>
    <xf numFmtId="0" fontId="11" fillId="31" borderId="3" xfId="30" applyFont="1" applyFill="1" applyBorder="1">
      <alignment/>
      <protection/>
    </xf>
    <xf numFmtId="0" fontId="11" fillId="31" borderId="3" xfId="27" applyFont="1" applyFill="1" applyBorder="1">
      <alignment/>
      <protection/>
    </xf>
    <xf numFmtId="169" fontId="8" fillId="31" borderId="3" xfId="0" applyNumberFormat="1" applyFont="1" applyFill="1" applyBorder="1"/>
    <xf numFmtId="4" fontId="0" fillId="0" borderId="0" xfId="0" applyNumberFormat="1"/>
    <xf numFmtId="4" fontId="7" fillId="30" borderId="26" xfId="0" applyNumberFormat="1" applyFont="1" applyFill="1" applyBorder="1" applyAlignment="1">
      <alignment wrapText="1"/>
    </xf>
    <xf numFmtId="4" fontId="8" fillId="31" borderId="3" xfId="0" applyNumberFormat="1" applyFont="1" applyFill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center" wrapText="1"/>
    </xf>
    <xf numFmtId="1" fontId="0" fillId="0" borderId="0" xfId="0" applyNumberFormat="1"/>
    <xf numFmtId="1" fontId="8" fillId="31" borderId="3" xfId="21" applyNumberFormat="1" applyFont="1" applyFill="1" applyBorder="1" applyAlignment="1">
      <alignment horizontal="right"/>
    </xf>
    <xf numFmtId="1" fontId="8" fillId="31" borderId="3" xfId="0" applyNumberFormat="1" applyFont="1" applyFill="1" applyBorder="1" applyAlignment="1">
      <alignment horizontal="right"/>
    </xf>
    <xf numFmtId="0" fontId="0" fillId="32" borderId="0" xfId="0" applyFill="1"/>
    <xf numFmtId="0" fontId="2" fillId="25" borderId="27" xfId="0" applyFont="1" applyFill="1" applyBorder="1"/>
    <xf numFmtId="0" fontId="18" fillId="26" borderId="14" xfId="0" applyFont="1" applyFill="1" applyBorder="1" applyAlignment="1">
      <alignment horizontal="center"/>
    </xf>
    <xf numFmtId="0" fontId="0" fillId="0" borderId="9" xfId="0" applyBorder="1" applyAlignment="1">
      <alignment horizontal="right"/>
    </xf>
    <xf numFmtId="0" fontId="15" fillId="0" borderId="0" xfId="27">
      <alignment/>
      <protection/>
    </xf>
    <xf numFmtId="0" fontId="3" fillId="33" borderId="13" xfId="0" applyFont="1" applyFill="1" applyBorder="1" applyAlignment="1">
      <alignment horizontal="center"/>
    </xf>
    <xf numFmtId="0" fontId="3" fillId="33" borderId="14" xfId="0" applyFont="1" applyFill="1" applyBorder="1" applyAlignment="1">
      <alignment horizontal="center"/>
    </xf>
    <xf numFmtId="0" fontId="4" fillId="33" borderId="14" xfId="0" applyFont="1" applyFill="1" applyBorder="1" applyAlignment="1">
      <alignment horizontal="center"/>
    </xf>
    <xf numFmtId="0" fontId="4" fillId="31" borderId="13" xfId="0" applyFont="1" applyFill="1" applyBorder="1" applyAlignment="1">
      <alignment horizontal="center"/>
    </xf>
    <xf numFmtId="0" fontId="4" fillId="31" borderId="14" xfId="0" applyFont="1" applyFill="1" applyBorder="1" applyAlignment="1">
      <alignment horizontal="center"/>
    </xf>
    <xf numFmtId="0" fontId="18" fillId="31" borderId="14" xfId="0" applyFont="1" applyFill="1" applyBorder="1" applyAlignment="1">
      <alignment horizontal="center"/>
    </xf>
    <xf numFmtId="0" fontId="13" fillId="0" borderId="28" xfId="26" applyFont="1" applyBorder="1">
      <alignment/>
      <protection/>
    </xf>
    <xf numFmtId="0" fontId="1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9" fillId="0" borderId="0" xfId="0" applyFont="1"/>
    <xf numFmtId="0" fontId="0" fillId="26" borderId="0" xfId="0" applyFill="1"/>
    <xf numFmtId="0" fontId="0" fillId="31" borderId="0" xfId="0" applyFill="1"/>
    <xf numFmtId="0" fontId="0" fillId="0" borderId="0" xfId="0" applyAlignment="1">
      <alignment horizontal="left" indent="1"/>
    </xf>
    <xf numFmtId="0" fontId="0" fillId="27" borderId="3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27" borderId="20" xfId="0" applyFill="1" applyBorder="1" applyAlignment="1">
      <alignment horizontal="left" indent="2"/>
    </xf>
    <xf numFmtId="0" fontId="0" fillId="27" borderId="16" xfId="0" applyFill="1" applyBorder="1" applyAlignment="1">
      <alignment horizontal="left" indent="2"/>
    </xf>
    <xf numFmtId="0" fontId="0" fillId="27" borderId="31" xfId="0" applyFill="1" applyBorder="1" applyAlignment="1">
      <alignment horizontal="left" indent="2"/>
    </xf>
    <xf numFmtId="3" fontId="0" fillId="0" borderId="0" xfId="0" applyNumberFormat="1"/>
    <xf numFmtId="0" fontId="0" fillId="0" borderId="32" xfId="0" applyBorder="1" applyAlignment="1">
      <alignment horizontal="left" indent="2"/>
    </xf>
    <xf numFmtId="0" fontId="0" fillId="27" borderId="16" xfId="0" applyFill="1" applyBorder="1" applyAlignment="1">
      <alignment horizontal="left" indent="3"/>
    </xf>
    <xf numFmtId="171" fontId="2" fillId="0" borderId="0" xfId="83" applyFont="1">
      <alignment/>
      <protection/>
    </xf>
    <xf numFmtId="0" fontId="2" fillId="0" borderId="0" xfId="83" applyNumberFormat="1" applyFont="1">
      <alignment/>
      <protection/>
    </xf>
    <xf numFmtId="170" fontId="4" fillId="0" borderId="0" xfId="32" applyFont="1" applyBorder="1" applyAlignment="1">
      <alignment horizontal="center"/>
    </xf>
    <xf numFmtId="0" fontId="2" fillId="27" borderId="27" xfId="0" applyFont="1" applyFill="1" applyBorder="1"/>
    <xf numFmtId="0" fontId="2" fillId="27" borderId="12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31" borderId="0" xfId="0" applyFont="1" applyFill="1" applyAlignment="1">
      <alignment horizontal="center"/>
    </xf>
    <xf numFmtId="0" fontId="4" fillId="29" borderId="16" xfId="0" applyFont="1" applyFill="1" applyBorder="1" applyAlignment="1">
      <alignment horizontal="center"/>
    </xf>
    <xf numFmtId="0" fontId="4" fillId="29" borderId="14" xfId="0" applyFont="1" applyFill="1" applyBorder="1" applyAlignment="1">
      <alignment horizontal="center"/>
    </xf>
    <xf numFmtId="0" fontId="3" fillId="29" borderId="16" xfId="0" applyFont="1" applyFill="1" applyBorder="1" applyAlignment="1">
      <alignment horizontal="center"/>
    </xf>
    <xf numFmtId="0" fontId="3" fillId="29" borderId="1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2" fillId="34" borderId="27" xfId="0" applyFont="1" applyFill="1" applyBorder="1"/>
    <xf numFmtId="0" fontId="2" fillId="34" borderId="12" xfId="0" applyFont="1" applyFill="1" applyBorder="1"/>
    <xf numFmtId="0" fontId="2" fillId="26" borderId="27" xfId="0" applyFont="1" applyFill="1" applyBorder="1"/>
    <xf numFmtId="0" fontId="2" fillId="26" borderId="12" xfId="0" applyFont="1" applyFill="1" applyBorder="1"/>
    <xf numFmtId="0" fontId="4" fillId="0" borderId="14" xfId="0" applyFont="1" applyBorder="1"/>
    <xf numFmtId="170" fontId="4" fillId="0" borderId="14" xfId="32" applyFont="1" applyBorder="1" applyAlignment="1">
      <alignment horizontal="center"/>
    </xf>
    <xf numFmtId="170" fontId="4" fillId="0" borderId="15" xfId="32" applyFont="1" applyBorder="1" applyAlignment="1">
      <alignment horizontal="center"/>
    </xf>
    <xf numFmtId="0" fontId="3" fillId="29" borderId="14" xfId="0" applyFont="1" applyFill="1" applyBorder="1"/>
    <xf numFmtId="170" fontId="3" fillId="29" borderId="14" xfId="32" applyFont="1" applyFill="1" applyBorder="1" applyAlignment="1">
      <alignment horizontal="center"/>
    </xf>
    <xf numFmtId="0" fontId="3" fillId="29" borderId="13" xfId="0" applyFont="1" applyFill="1" applyBorder="1" applyAlignment="1">
      <alignment horizontal="center"/>
    </xf>
    <xf numFmtId="0" fontId="4" fillId="29" borderId="13" xfId="0" applyFont="1" applyFill="1" applyBorder="1" applyAlignment="1">
      <alignment horizontal="center"/>
    </xf>
    <xf numFmtId="2" fontId="3" fillId="26" borderId="14" xfId="0" applyNumberFormat="1" applyFont="1" applyFill="1" applyBorder="1" applyAlignment="1">
      <alignment horizontal="center"/>
    </xf>
    <xf numFmtId="2" fontId="3" fillId="29" borderId="15" xfId="32" applyNumberFormat="1" applyFont="1" applyFill="1" applyBorder="1" applyAlignment="1">
      <alignment horizontal="center"/>
    </xf>
    <xf numFmtId="2" fontId="4" fillId="26" borderId="14" xfId="0" applyNumberFormat="1" applyFont="1" applyFill="1" applyBorder="1" applyAlignment="1">
      <alignment horizontal="center"/>
    </xf>
    <xf numFmtId="2" fontId="4" fillId="29" borderId="15" xfId="32" applyNumberFormat="1" applyFont="1" applyFill="1" applyBorder="1" applyAlignment="1">
      <alignment horizontal="center"/>
    </xf>
    <xf numFmtId="2" fontId="4" fillId="0" borderId="15" xfId="32" applyNumberFormat="1" applyFont="1" applyBorder="1" applyAlignment="1">
      <alignment horizontal="center"/>
    </xf>
    <xf numFmtId="2" fontId="40" fillId="29" borderId="15" xfId="32" applyNumberFormat="1" applyFont="1" applyFill="1" applyBorder="1" applyAlignment="1">
      <alignment horizontal="center"/>
    </xf>
    <xf numFmtId="2" fontId="41" fillId="29" borderId="15" xfId="32" applyNumberFormat="1" applyFont="1" applyFill="1" applyBorder="1" applyAlignment="1">
      <alignment horizontal="center"/>
    </xf>
    <xf numFmtId="0" fontId="3" fillId="35" borderId="20" xfId="0" applyFont="1" applyFill="1" applyBorder="1" applyAlignment="1">
      <alignment horizontal="center"/>
    </xf>
    <xf numFmtId="0" fontId="3" fillId="35" borderId="21" xfId="0" applyFont="1" applyFill="1" applyBorder="1" applyAlignment="1">
      <alignment horizontal="center"/>
    </xf>
    <xf numFmtId="170" fontId="3" fillId="35" borderId="22" xfId="32" applyFont="1" applyFill="1" applyBorder="1" applyAlignment="1">
      <alignment horizontal="center"/>
    </xf>
    <xf numFmtId="0" fontId="4" fillId="35" borderId="14" xfId="0" applyFont="1" applyFill="1" applyBorder="1"/>
    <xf numFmtId="170" fontId="4" fillId="35" borderId="14" xfId="32" applyFont="1" applyFill="1" applyBorder="1" applyAlignment="1">
      <alignment horizontal="center"/>
    </xf>
    <xf numFmtId="0" fontId="18" fillId="35" borderId="14" xfId="0" applyFont="1" applyFill="1" applyBorder="1" applyAlignment="1">
      <alignment horizontal="center"/>
    </xf>
    <xf numFmtId="170" fontId="4" fillId="35" borderId="15" xfId="32" applyFont="1" applyFill="1" applyBorder="1" applyAlignment="1">
      <alignment horizontal="center"/>
    </xf>
    <xf numFmtId="170" fontId="3" fillId="35" borderId="14" xfId="32" applyFont="1" applyFill="1" applyBorder="1" applyAlignment="1">
      <alignment horizontal="center"/>
    </xf>
    <xf numFmtId="170" fontId="40" fillId="35" borderId="15" xfId="32" applyFont="1" applyFill="1" applyBorder="1" applyAlignment="1">
      <alignment horizontal="center"/>
    </xf>
    <xf numFmtId="170" fontId="18" fillId="35" borderId="33" xfId="32" applyFont="1" applyFill="1" applyBorder="1" applyAlignment="1">
      <alignment horizontal="center"/>
    </xf>
    <xf numFmtId="170" fontId="18" fillId="0" borderId="15" xfId="32" applyFont="1" applyFill="1" applyBorder="1" applyAlignment="1">
      <alignment horizontal="center"/>
    </xf>
    <xf numFmtId="170" fontId="18" fillId="0" borderId="15" xfId="32" applyFont="1" applyBorder="1" applyAlignment="1">
      <alignment horizontal="center"/>
    </xf>
    <xf numFmtId="0" fontId="3" fillId="26" borderId="21" xfId="0" applyFont="1" applyFill="1" applyBorder="1" applyAlignment="1">
      <alignment horizontal="center"/>
    </xf>
    <xf numFmtId="0" fontId="2" fillId="0" borderId="0" xfId="0" applyFont="1"/>
    <xf numFmtId="0" fontId="3" fillId="35" borderId="13" xfId="0" applyFont="1" applyFill="1" applyBorder="1" applyAlignment="1">
      <alignment horizontal="center"/>
    </xf>
    <xf numFmtId="0" fontId="3" fillId="35" borderId="14" xfId="0" applyFont="1" applyFill="1" applyBorder="1"/>
    <xf numFmtId="0" fontId="3" fillId="35" borderId="14" xfId="0" applyFont="1" applyFill="1" applyBorder="1" applyAlignment="1">
      <alignment horizontal="center"/>
    </xf>
    <xf numFmtId="170" fontId="3" fillId="35" borderId="15" xfId="32" applyFont="1" applyFill="1" applyBorder="1" applyAlignment="1">
      <alignment horizontal="center"/>
    </xf>
    <xf numFmtId="0" fontId="4" fillId="35" borderId="13" xfId="0" applyFont="1" applyFill="1" applyBorder="1" applyAlignment="1">
      <alignment horizontal="center"/>
    </xf>
    <xf numFmtId="0" fontId="4" fillId="35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3" fillId="35" borderId="25" xfId="0" applyFont="1" applyFill="1" applyBorder="1"/>
    <xf numFmtId="0" fontId="3" fillId="35" borderId="25" xfId="0" applyFont="1" applyFill="1" applyBorder="1" applyAlignment="1">
      <alignment horizontal="center"/>
    </xf>
    <xf numFmtId="170" fontId="3" fillId="35" borderId="25" xfId="32" applyFont="1" applyFill="1" applyBorder="1" applyAlignment="1">
      <alignment horizontal="center"/>
    </xf>
    <xf numFmtId="0" fontId="4" fillId="35" borderId="3" xfId="0" applyFont="1" applyFill="1" applyBorder="1"/>
    <xf numFmtId="0" fontId="18" fillId="35" borderId="3" xfId="0" applyFont="1" applyFill="1" applyBorder="1" applyAlignment="1">
      <alignment horizontal="center"/>
    </xf>
    <xf numFmtId="170" fontId="4" fillId="35" borderId="3" xfId="32" applyFont="1" applyFill="1" applyBorder="1" applyAlignment="1">
      <alignment horizontal="center"/>
    </xf>
    <xf numFmtId="0" fontId="18" fillId="0" borderId="3" xfId="0" applyFont="1" applyBorder="1" applyAlignment="1">
      <alignment horizontal="center"/>
    </xf>
    <xf numFmtId="170" fontId="4" fillId="0" borderId="3" xfId="32" applyFont="1" applyBorder="1" applyAlignment="1">
      <alignment horizontal="center"/>
    </xf>
    <xf numFmtId="2" fontId="4" fillId="0" borderId="0" xfId="32" applyNumberFormat="1" applyFont="1" applyBorder="1" applyAlignment="1">
      <alignment horizontal="center"/>
    </xf>
    <xf numFmtId="2" fontId="4" fillId="31" borderId="0" xfId="0" applyNumberFormat="1" applyFont="1" applyFill="1" applyAlignment="1">
      <alignment horizontal="center"/>
    </xf>
    <xf numFmtId="0" fontId="4" fillId="35" borderId="34" xfId="0" applyFont="1" applyFill="1" applyBorder="1" applyAlignment="1">
      <alignment horizontal="center"/>
    </xf>
    <xf numFmtId="0" fontId="43" fillId="0" borderId="0" xfId="88" applyFont="1"/>
    <xf numFmtId="0" fontId="44" fillId="0" borderId="0" xfId="88" applyFont="1" applyBorder="1"/>
    <xf numFmtId="0" fontId="45" fillId="27" borderId="3" xfId="0" applyFont="1" applyFill="1" applyBorder="1"/>
    <xf numFmtId="0" fontId="44" fillId="0" borderId="0" xfId="88" applyFont="1"/>
    <xf numFmtId="0" fontId="13" fillId="0" borderId="3" xfId="26" applyFont="1" applyBorder="1">
      <alignment/>
      <protection/>
    </xf>
    <xf numFmtId="0" fontId="2" fillId="25" borderId="32" xfId="0" applyFont="1" applyFill="1" applyBorder="1"/>
    <xf numFmtId="0" fontId="0" fillId="26" borderId="3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5" borderId="3" xfId="0" applyFont="1" applyFill="1" applyBorder="1" applyAlignment="1">
      <alignment horizontal="center" wrapText="1"/>
    </xf>
    <xf numFmtId="0" fontId="9" fillId="0" borderId="3" xfId="0" applyFont="1" applyBorder="1" applyAlignment="1">
      <alignment horizontal="center" vertical="center"/>
    </xf>
    <xf numFmtId="0" fontId="9" fillId="0" borderId="3" xfId="0" applyFont="1" applyBorder="1"/>
    <xf numFmtId="2" fontId="9" fillId="0" borderId="3" xfId="0" applyNumberFormat="1" applyFont="1" applyBorder="1"/>
    <xf numFmtId="0" fontId="9" fillId="0" borderId="29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49" fontId="9" fillId="0" borderId="29" xfId="0" applyNumberFormat="1" applyFont="1" applyBorder="1" applyAlignment="1">
      <alignment horizontal="center"/>
    </xf>
    <xf numFmtId="49" fontId="9" fillId="0" borderId="35" xfId="0" applyNumberFormat="1" applyFont="1" applyBorder="1" applyAlignment="1">
      <alignment horizontal="center"/>
    </xf>
    <xf numFmtId="0" fontId="9" fillId="31" borderId="3" xfId="0" applyFont="1" applyFill="1" applyBorder="1"/>
    <xf numFmtId="1" fontId="1" fillId="0" borderId="3" xfId="0" applyNumberFormat="1" applyFont="1" applyBorder="1" applyAlignment="1">
      <alignment horizontal="center" vertical="center"/>
    </xf>
    <xf numFmtId="2" fontId="46" fillId="0" borderId="29" xfId="0" applyNumberFormat="1" applyFont="1" applyBorder="1" applyAlignment="1">
      <alignment horizontal="center"/>
    </xf>
    <xf numFmtId="2" fontId="46" fillId="0" borderId="35" xfId="0" applyNumberFormat="1" applyFont="1" applyBorder="1" applyAlignment="1">
      <alignment horizontal="center"/>
    </xf>
    <xf numFmtId="2" fontId="9" fillId="0" borderId="35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wrapText="1"/>
    </xf>
    <xf numFmtId="0" fontId="9" fillId="0" borderId="3" xfId="0" applyFont="1" applyBorder="1" applyAlignment="1">
      <alignment horizontal="center" vertical="center" wrapText="1"/>
    </xf>
    <xf numFmtId="2" fontId="9" fillId="0" borderId="3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3" xfId="0" applyNumberFormat="1" applyFont="1" applyBorder="1" applyAlignment="1">
      <alignment horizontal="center" vertical="center" wrapText="1"/>
    </xf>
    <xf numFmtId="1" fontId="9" fillId="0" borderId="3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" fillId="0" borderId="3" xfId="0" applyFont="1" applyBorder="1" applyAlignment="1">
      <alignment horizontal="center"/>
    </xf>
    <xf numFmtId="0" fontId="9" fillId="0" borderId="30" xfId="0" applyFont="1" applyBorder="1"/>
    <xf numFmtId="0" fontId="9" fillId="0" borderId="14" xfId="0" applyFont="1" applyBorder="1"/>
    <xf numFmtId="0" fontId="9" fillId="0" borderId="14" xfId="0" applyFont="1" applyBorder="1" applyAlignment="1">
      <alignment horizontal="center"/>
    </xf>
    <xf numFmtId="2" fontId="9" fillId="0" borderId="3" xfId="0" applyNumberFormat="1" applyFont="1" applyBorder="1" applyAlignment="1">
      <alignment vertical="center"/>
    </xf>
    <xf numFmtId="0" fontId="1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5" borderId="3" xfId="0" applyFont="1" applyFill="1" applyBorder="1"/>
    <xf numFmtId="171" fontId="7" fillId="35" borderId="3" xfId="64" applyFont="1" applyFill="1" applyBorder="1" applyAlignment="1">
      <alignment horizontal="center"/>
    </xf>
    <xf numFmtId="0" fontId="13" fillId="0" borderId="28" xfId="26" applyFont="1" applyBorder="1" applyAlignment="1">
      <alignment horizontal="center"/>
      <protection/>
    </xf>
    <xf numFmtId="0" fontId="9" fillId="36" borderId="3" xfId="0" applyFont="1" applyFill="1" applyBorder="1"/>
    <xf numFmtId="171" fontId="7" fillId="36" borderId="3" xfId="64" applyFont="1" applyFill="1" applyBorder="1" applyAlignment="1">
      <alignment horizontal="center"/>
    </xf>
    <xf numFmtId="2" fontId="9" fillId="0" borderId="14" xfId="0" applyNumberFormat="1" applyFont="1" applyBorder="1"/>
    <xf numFmtId="0" fontId="9" fillId="0" borderId="14" xfId="0" applyFont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 vertical="center"/>
    </xf>
    <xf numFmtId="0" fontId="9" fillId="0" borderId="3" xfId="0" applyFont="1" applyBorder="1" applyAlignment="1">
      <alignment horizontal="right"/>
    </xf>
    <xf numFmtId="0" fontId="7" fillId="35" borderId="3" xfId="0" applyFont="1" applyFill="1" applyBorder="1" applyAlignment="1">
      <alignment horizontal="center"/>
    </xf>
    <xf numFmtId="49" fontId="1" fillId="0" borderId="3" xfId="0" applyNumberFormat="1" applyFont="1" applyBorder="1"/>
    <xf numFmtId="0" fontId="7" fillId="36" borderId="3" xfId="0" applyFont="1" applyFill="1" applyBorder="1" applyAlignment="1">
      <alignment horizontal="center" vertical="center"/>
    </xf>
    <xf numFmtId="0" fontId="7" fillId="35" borderId="3" xfId="0" applyFont="1" applyFill="1" applyBorder="1"/>
    <xf numFmtId="0" fontId="9" fillId="0" borderId="3" xfId="0" applyFont="1" applyBorder="1" applyAlignment="1">
      <alignment horizontal="left"/>
    </xf>
    <xf numFmtId="0" fontId="9" fillId="0" borderId="3" xfId="0" applyFont="1" applyBorder="1" applyAlignment="1">
      <alignment horizontal="center" wrapText="1"/>
    </xf>
    <xf numFmtId="164" fontId="4" fillId="0" borderId="3" xfId="20" applyFont="1" applyBorder="1" applyAlignment="1">
      <alignment horizontal="left"/>
    </xf>
    <xf numFmtId="0" fontId="4" fillId="0" borderId="3" xfId="20" applyNumberFormat="1" applyFont="1" applyBorder="1" applyAlignment="1">
      <alignment horizontal="left"/>
    </xf>
    <xf numFmtId="0" fontId="0" fillId="37" borderId="0" xfId="0" applyFill="1"/>
    <xf numFmtId="4" fontId="0" fillId="37" borderId="0" xfId="0" applyNumberFormat="1" applyFill="1"/>
    <xf numFmtId="0" fontId="47" fillId="0" borderId="0" xfId="0" applyFont="1"/>
    <xf numFmtId="0" fontId="48" fillId="33" borderId="9" xfId="0" applyFont="1" applyFill="1" applyBorder="1" applyAlignment="1">
      <alignment horizontal="center" vertical="center" wrapText="1"/>
    </xf>
    <xf numFmtId="3" fontId="48" fillId="33" borderId="9" xfId="0" applyNumberFormat="1" applyFont="1" applyFill="1" applyBorder="1" applyAlignment="1">
      <alignment horizontal="center" vertical="center"/>
    </xf>
    <xf numFmtId="0" fontId="48" fillId="33" borderId="30" xfId="0" applyFont="1" applyFill="1" applyBorder="1" applyAlignment="1">
      <alignment horizontal="center" vertical="center" wrapText="1"/>
    </xf>
    <xf numFmtId="0" fontId="49" fillId="0" borderId="3" xfId="0" applyFont="1" applyBorder="1" applyAlignment="1">
      <alignment horizontal="right"/>
    </xf>
    <xf numFmtId="0" fontId="50" fillId="0" borderId="3" xfId="0" applyFont="1" applyBorder="1"/>
    <xf numFmtId="0" fontId="50" fillId="31" borderId="3" xfId="0" applyFont="1" applyFill="1" applyBorder="1" applyAlignment="1">
      <alignment horizontal="right" vertical="center" wrapText="1"/>
    </xf>
    <xf numFmtId="3" fontId="50" fillId="31" borderId="3" xfId="0" applyNumberFormat="1" applyFont="1" applyFill="1" applyBorder="1" applyAlignment="1">
      <alignment horizontal="right" vertical="center"/>
    </xf>
    <xf numFmtId="2" fontId="49" fillId="0" borderId="3" xfId="0" applyNumberFormat="1" applyFont="1" applyBorder="1"/>
    <xf numFmtId="0" fontId="50" fillId="0" borderId="3" xfId="0" applyFont="1" applyBorder="1" applyAlignment="1">
      <alignment horizontal="right"/>
    </xf>
    <xf numFmtId="49" fontId="50" fillId="0" borderId="3" xfId="0" applyNumberFormat="1" applyFont="1" applyBorder="1"/>
    <xf numFmtId="0" fontId="49" fillId="0" borderId="3" xfId="0" applyFont="1" applyBorder="1"/>
    <xf numFmtId="0" fontId="50" fillId="31" borderId="3" xfId="0" applyFont="1" applyFill="1" applyBorder="1"/>
    <xf numFmtId="0" fontId="50" fillId="0" borderId="30" xfId="0" applyFont="1" applyBorder="1" applyAlignment="1">
      <alignment horizontal="center"/>
    </xf>
    <xf numFmtId="49" fontId="50" fillId="0" borderId="36" xfId="0" applyNumberFormat="1" applyFont="1" applyBorder="1"/>
    <xf numFmtId="0" fontId="51" fillId="0" borderId="3" xfId="0" applyFont="1" applyBorder="1"/>
    <xf numFmtId="3" fontId="49" fillId="0" borderId="3" xfId="0" applyNumberFormat="1" applyFont="1" applyBorder="1"/>
    <xf numFmtId="2" fontId="49" fillId="31" borderId="3" xfId="0" applyNumberFormat="1" applyFont="1" applyFill="1" applyBorder="1"/>
    <xf numFmtId="0" fontId="50" fillId="0" borderId="0" xfId="0" applyFont="1" applyAlignment="1">
      <alignment horizontal="right"/>
    </xf>
    <xf numFmtId="0" fontId="50" fillId="0" borderId="0" xfId="0" applyFont="1"/>
    <xf numFmtId="3" fontId="49" fillId="0" borderId="0" xfId="0" applyNumberFormat="1" applyFont="1"/>
    <xf numFmtId="0" fontId="49" fillId="0" borderId="0" xfId="0" applyFont="1"/>
    <xf numFmtId="0" fontId="52" fillId="0" borderId="0" xfId="0" applyFont="1"/>
    <xf numFmtId="0" fontId="53" fillId="33" borderId="9" xfId="0" applyFont="1" applyFill="1" applyBorder="1" applyAlignment="1">
      <alignment horizontal="center" vertical="center" wrapText="1"/>
    </xf>
    <xf numFmtId="3" fontId="53" fillId="33" borderId="9" xfId="0" applyNumberFormat="1" applyFont="1" applyFill="1" applyBorder="1" applyAlignment="1">
      <alignment horizontal="center" vertical="center"/>
    </xf>
    <xf numFmtId="0" fontId="53" fillId="33" borderId="30" xfId="0" applyFont="1" applyFill="1" applyBorder="1" applyAlignment="1">
      <alignment horizontal="center" vertical="center" wrapText="1"/>
    </xf>
    <xf numFmtId="0" fontId="49" fillId="31" borderId="3" xfId="0" applyFont="1" applyFill="1" applyBorder="1" applyAlignment="1">
      <alignment horizontal="right"/>
    </xf>
    <xf numFmtId="0" fontId="49" fillId="31" borderId="3" xfId="0" applyFont="1" applyFill="1" applyBorder="1"/>
    <xf numFmtId="3" fontId="9" fillId="0" borderId="0" xfId="0" applyNumberFormat="1" applyFont="1"/>
    <xf numFmtId="3" fontId="7" fillId="35" borderId="3" xfId="0" applyNumberFormat="1" applyFont="1" applyFill="1" applyBorder="1" applyAlignment="1">
      <alignment horizontal="center" wrapText="1"/>
    </xf>
    <xf numFmtId="3" fontId="9" fillId="0" borderId="3" xfId="0" applyNumberFormat="1" applyFont="1" applyBorder="1" applyAlignment="1">
      <alignment horizontal="center" vertical="center"/>
    </xf>
    <xf numFmtId="3" fontId="9" fillId="0" borderId="3" xfId="0" applyNumberFormat="1" applyFont="1" applyBorder="1"/>
    <xf numFmtId="3" fontId="9" fillId="0" borderId="35" xfId="0" applyNumberFormat="1" applyFont="1" applyBorder="1" applyAlignment="1">
      <alignment horizontal="center"/>
    </xf>
    <xf numFmtId="3" fontId="9" fillId="0" borderId="37" xfId="0" applyNumberFormat="1" applyFont="1" applyBorder="1" applyAlignment="1">
      <alignment horizontal="center"/>
    </xf>
    <xf numFmtId="3" fontId="9" fillId="0" borderId="3" xfId="0" applyNumberFormat="1" applyFont="1" applyBorder="1" applyAlignment="1">
      <alignment horizontal="center"/>
    </xf>
    <xf numFmtId="3" fontId="46" fillId="0" borderId="35" xfId="0" applyNumberFormat="1" applyFont="1" applyBorder="1" applyAlignment="1">
      <alignment horizontal="center"/>
    </xf>
    <xf numFmtId="3" fontId="46" fillId="0" borderId="37" xfId="0" applyNumberFormat="1" applyFont="1" applyBorder="1" applyAlignment="1">
      <alignment horizontal="center"/>
    </xf>
    <xf numFmtId="3" fontId="9" fillId="0" borderId="3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14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5" borderId="3" xfId="0" applyNumberFormat="1" applyFont="1" applyFill="1" applyBorder="1"/>
    <xf numFmtId="3" fontId="9" fillId="36" borderId="3" xfId="0" applyNumberFormat="1" applyFont="1" applyFill="1" applyBorder="1"/>
    <xf numFmtId="0" fontId="3" fillId="31" borderId="3" xfId="0" applyFont="1" applyFill="1" applyBorder="1"/>
    <xf numFmtId="0" fontId="8" fillId="0" borderId="3" xfId="22" applyFont="1" applyBorder="1" applyAlignment="1">
      <alignment horizontal="center"/>
      <protection/>
    </xf>
    <xf numFmtId="0" fontId="8" fillId="0" borderId="3" xfId="22" applyFont="1" applyBorder="1" applyAlignment="1">
      <alignment horizontal="left"/>
      <protection/>
    </xf>
    <xf numFmtId="0" fontId="54" fillId="0" borderId="3" xfId="0" applyFont="1" applyBorder="1" applyAlignment="1">
      <alignment horizontal="right"/>
    </xf>
    <xf numFmtId="0" fontId="13" fillId="31" borderId="28" xfId="26" applyFont="1" applyFill="1" applyBorder="1">
      <alignment/>
      <protection/>
    </xf>
    <xf numFmtId="164" fontId="55" fillId="37" borderId="3" xfId="20" applyFont="1" applyFill="1" applyBorder="1" applyAlignment="1">
      <alignment horizontal="left"/>
    </xf>
    <xf numFmtId="0" fontId="55" fillId="37" borderId="3" xfId="20" applyNumberFormat="1" applyFont="1" applyFill="1" applyBorder="1" applyAlignment="1">
      <alignment horizontal="left"/>
    </xf>
    <xf numFmtId="0" fontId="4" fillId="37" borderId="13" xfId="0" applyFont="1" applyFill="1" applyBorder="1" applyAlignment="1">
      <alignment horizontal="center"/>
    </xf>
    <xf numFmtId="164" fontId="4" fillId="37" borderId="3" xfId="20" applyFont="1" applyFill="1" applyBorder="1" applyAlignment="1">
      <alignment horizontal="left"/>
    </xf>
    <xf numFmtId="0" fontId="4" fillId="37" borderId="3" xfId="20" applyNumberFormat="1" applyFont="1" applyFill="1" applyBorder="1" applyAlignment="1">
      <alignment horizontal="left"/>
    </xf>
    <xf numFmtId="0" fontId="44" fillId="31" borderId="30" xfId="88" applyFont="1" applyFill="1" applyBorder="1"/>
    <xf numFmtId="0" fontId="4" fillId="37" borderId="14" xfId="0" applyFont="1" applyFill="1" applyBorder="1"/>
    <xf numFmtId="164" fontId="4" fillId="31" borderId="3" xfId="20" applyFont="1" applyFill="1" applyBorder="1" applyAlignment="1">
      <alignment horizontal="left"/>
    </xf>
    <xf numFmtId="0" fontId="4" fillId="31" borderId="3" xfId="20" applyNumberFormat="1" applyFont="1" applyFill="1" applyBorder="1" applyAlignment="1">
      <alignment horizontal="left"/>
    </xf>
    <xf numFmtId="4" fontId="0" fillId="27" borderId="21" xfId="0" applyNumberFormat="1" applyFill="1" applyBorder="1"/>
    <xf numFmtId="4" fontId="0" fillId="27" borderId="22" xfId="0" applyNumberFormat="1" applyFill="1" applyBorder="1"/>
    <xf numFmtId="4" fontId="0" fillId="27" borderId="3" xfId="0" applyNumberFormat="1" applyFill="1" applyBorder="1"/>
    <xf numFmtId="4" fontId="0" fillId="27" borderId="17" xfId="0" applyNumberFormat="1" applyFill="1" applyBorder="1"/>
    <xf numFmtId="4" fontId="0" fillId="27" borderId="23" xfId="0" applyNumberFormat="1" applyFill="1" applyBorder="1"/>
    <xf numFmtId="4" fontId="0" fillId="27" borderId="38" xfId="0" applyNumberFormat="1" applyFill="1" applyBorder="1"/>
    <xf numFmtId="4" fontId="0" fillId="0" borderId="39" xfId="0" applyNumberFormat="1" applyBorder="1"/>
    <xf numFmtId="0" fontId="0" fillId="0" borderId="0" xfId="0" applyAlignment="1">
      <alignment horizontal="right"/>
    </xf>
    <xf numFmtId="0" fontId="2" fillId="25" borderId="12" xfId="0" applyFont="1" applyFill="1" applyBorder="1" applyAlignment="1">
      <alignment horizontal="right"/>
    </xf>
    <xf numFmtId="1" fontId="3" fillId="29" borderId="16" xfId="0" applyNumberFormat="1" applyFont="1" applyFill="1" applyBorder="1" applyAlignment="1">
      <alignment horizontal="right"/>
    </xf>
    <xf numFmtId="0" fontId="4" fillId="29" borderId="16" xfId="0" applyFont="1" applyFill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4" fillId="0" borderId="18" xfId="0" applyFont="1" applyBorder="1" applyAlignment="1">
      <alignment horizontal="right"/>
    </xf>
    <xf numFmtId="0" fontId="4" fillId="31" borderId="18" xfId="0" applyFont="1" applyFill="1" applyBorder="1" applyAlignment="1">
      <alignment horizontal="right"/>
    </xf>
    <xf numFmtId="0" fontId="3" fillId="29" borderId="16" xfId="0" applyFont="1" applyFill="1" applyBorder="1" applyAlignment="1">
      <alignment horizontal="right"/>
    </xf>
    <xf numFmtId="0" fontId="4" fillId="31" borderId="16" xfId="0" applyFont="1" applyFill="1" applyBorder="1" applyAlignment="1">
      <alignment horizontal="right"/>
    </xf>
    <xf numFmtId="0" fontId="4" fillId="29" borderId="18" xfId="0" applyFont="1" applyFill="1" applyBorder="1" applyAlignment="1">
      <alignment horizontal="right"/>
    </xf>
    <xf numFmtId="0" fontId="13" fillId="37" borderId="28" xfId="26" applyFont="1" applyFill="1" applyBorder="1" applyAlignment="1">
      <alignment horizontal="right"/>
      <protection/>
    </xf>
    <xf numFmtId="0" fontId="7" fillId="30" borderId="3" xfId="0" applyFont="1" applyFill="1" applyBorder="1" applyAlignment="1">
      <alignment horizontal="center" wrapText="1"/>
    </xf>
    <xf numFmtId="0" fontId="0" fillId="29" borderId="0" xfId="0" applyFill="1"/>
    <xf numFmtId="0" fontId="3" fillId="31" borderId="0" xfId="0" applyFont="1" applyFill="1"/>
    <xf numFmtId="4" fontId="3" fillId="31" borderId="0" xfId="0" applyNumberFormat="1" applyFont="1" applyFill="1"/>
    <xf numFmtId="0" fontId="44" fillId="0" borderId="0" xfId="88" applyFont="1" applyAlignment="1">
      <alignment horizontal="right"/>
    </xf>
    <xf numFmtId="1" fontId="0" fillId="0" borderId="0" xfId="0" applyNumberFormat="1" applyAlignment="1">
      <alignment horizontal="right"/>
    </xf>
    <xf numFmtId="1" fontId="7" fillId="30" borderId="25" xfId="0" applyNumberFormat="1" applyFont="1" applyFill="1" applyBorder="1" applyAlignment="1">
      <alignment horizontal="right" wrapText="1"/>
    </xf>
    <xf numFmtId="1" fontId="0" fillId="0" borderId="3" xfId="0" applyNumberFormat="1" applyBorder="1" applyAlignment="1">
      <alignment horizontal="right"/>
    </xf>
    <xf numFmtId="4" fontId="8" fillId="31" borderId="3" xfId="0" applyNumberFormat="1" applyFont="1" applyFill="1" applyBorder="1" applyAlignment="1">
      <alignment horizontal="right"/>
    </xf>
    <xf numFmtId="0" fontId="3" fillId="31" borderId="0" xfId="0" applyFont="1" applyFill="1" applyAlignment="1">
      <alignment horizontal="right"/>
    </xf>
    <xf numFmtId="1" fontId="0" fillId="37" borderId="0" xfId="0" applyNumberFormat="1" applyFill="1" applyAlignment="1">
      <alignment horizontal="right"/>
    </xf>
    <xf numFmtId="4" fontId="4" fillId="0" borderId="3" xfId="20" applyNumberFormat="1" applyFont="1" applyBorder="1" applyAlignment="1">
      <alignment horizontal="left"/>
    </xf>
    <xf numFmtId="4" fontId="3" fillId="29" borderId="15" xfId="32" applyNumberFormat="1" applyFont="1" applyFill="1" applyBorder="1" applyAlignment="1">
      <alignment horizontal="center"/>
    </xf>
    <xf numFmtId="4" fontId="4" fillId="29" borderId="15" xfId="32" applyNumberFormat="1" applyFont="1" applyFill="1" applyBorder="1" applyAlignment="1">
      <alignment horizontal="center"/>
    </xf>
    <xf numFmtId="4" fontId="4" fillId="0" borderId="15" xfId="32" applyNumberFormat="1" applyFont="1" applyFill="1" applyBorder="1" applyAlignment="1">
      <alignment horizontal="center"/>
    </xf>
    <xf numFmtId="4" fontId="4" fillId="0" borderId="15" xfId="32" applyNumberFormat="1" applyFont="1" applyBorder="1" applyAlignment="1">
      <alignment horizontal="center"/>
    </xf>
    <xf numFmtId="4" fontId="2" fillId="0" borderId="0" xfId="83" applyNumberFormat="1" applyFont="1">
      <alignment/>
      <protection/>
    </xf>
    <xf numFmtId="4" fontId="4" fillId="0" borderId="0" xfId="32" applyNumberFormat="1" applyFont="1" applyBorder="1" applyAlignment="1">
      <alignment horizontal="center"/>
    </xf>
    <xf numFmtId="4" fontId="4" fillId="0" borderId="39" xfId="32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7" borderId="3" xfId="20" applyNumberFormat="1" applyFont="1" applyFill="1" applyBorder="1" applyAlignment="1">
      <alignment horizontal="right"/>
    </xf>
    <xf numFmtId="4" fontId="4" fillId="0" borderId="3" xfId="20" applyNumberFormat="1" applyFont="1" applyBorder="1" applyAlignment="1">
      <alignment horizontal="right"/>
    </xf>
    <xf numFmtId="4" fontId="0" fillId="32" borderId="0" xfId="0" applyNumberFormat="1" applyFill="1" applyAlignment="1">
      <alignment horizontal="right"/>
    </xf>
    <xf numFmtId="4" fontId="4" fillId="0" borderId="15" xfId="20" applyNumberFormat="1" applyFont="1" applyBorder="1" applyAlignment="1">
      <alignment horizontal="right"/>
    </xf>
    <xf numFmtId="4" fontId="3" fillId="33" borderId="15" xfId="20" applyNumberFormat="1" applyFont="1" applyFill="1" applyBorder="1" applyAlignment="1">
      <alignment horizontal="right"/>
    </xf>
    <xf numFmtId="4" fontId="4" fillId="31" borderId="15" xfId="20" applyNumberFormat="1" applyFont="1" applyFill="1" applyBorder="1" applyAlignment="1">
      <alignment horizontal="right"/>
    </xf>
    <xf numFmtId="4" fontId="4" fillId="35" borderId="15" xfId="20" applyNumberFormat="1" applyFont="1" applyFill="1" applyBorder="1" applyAlignment="1">
      <alignment horizontal="right"/>
    </xf>
    <xf numFmtId="4" fontId="0" fillId="0" borderId="3" xfId="0" applyNumberFormat="1" applyBorder="1" applyAlignment="1">
      <alignment horizontal="right"/>
    </xf>
    <xf numFmtId="0" fontId="56" fillId="27" borderId="16" xfId="0" applyFont="1" applyFill="1" applyBorder="1" applyAlignment="1">
      <alignment horizontal="left" indent="2"/>
    </xf>
    <xf numFmtId="4" fontId="7" fillId="30" borderId="9" xfId="0" applyNumberFormat="1" applyFont="1" applyFill="1" applyBorder="1" applyAlignment="1">
      <alignment wrapText="1"/>
    </xf>
    <xf numFmtId="0" fontId="7" fillId="30" borderId="9" xfId="0" applyFont="1" applyFill="1" applyBorder="1" applyAlignment="1">
      <alignment horizontal="center" wrapText="1"/>
    </xf>
    <xf numFmtId="1" fontId="7" fillId="30" borderId="9" xfId="0" applyNumberFormat="1" applyFont="1" applyFill="1" applyBorder="1" applyAlignment="1">
      <alignment wrapText="1"/>
    </xf>
    <xf numFmtId="0" fontId="0" fillId="33" borderId="0" xfId="0" applyFill="1"/>
    <xf numFmtId="4" fontId="0" fillId="0" borderId="3" xfId="0" applyNumberFormat="1" applyBorder="1"/>
    <xf numFmtId="0" fontId="8" fillId="0" borderId="3" xfId="0" applyFont="1" applyBorder="1" applyAlignment="1">
      <alignment horizontal="center"/>
    </xf>
    <xf numFmtId="0" fontId="3" fillId="31" borderId="3" xfId="0" applyFont="1" applyFill="1" applyBorder="1" applyAlignment="1">
      <alignment horizontal="right"/>
    </xf>
    <xf numFmtId="4" fontId="0" fillId="27" borderId="9" xfId="0" applyNumberFormat="1" applyFill="1" applyBorder="1"/>
    <xf numFmtId="0" fontId="4" fillId="38" borderId="13" xfId="0" applyFont="1" applyFill="1" applyBorder="1" applyAlignment="1">
      <alignment horizontal="center"/>
    </xf>
    <xf numFmtId="164" fontId="4" fillId="38" borderId="3" xfId="20" applyFont="1" applyFill="1" applyBorder="1" applyAlignment="1">
      <alignment horizontal="left"/>
    </xf>
    <xf numFmtId="0" fontId="0" fillId="37" borderId="27" xfId="0" applyFill="1" applyBorder="1"/>
    <xf numFmtId="164" fontId="4" fillId="31" borderId="21" xfId="20" applyFont="1" applyFill="1" applyBorder="1" applyAlignment="1">
      <alignment horizontal="left"/>
    </xf>
    <xf numFmtId="0" fontId="4" fillId="31" borderId="21" xfId="20" applyNumberFormat="1" applyFont="1" applyFill="1" applyBorder="1" applyAlignment="1">
      <alignment horizontal="left"/>
    </xf>
    <xf numFmtId="4" fontId="4" fillId="31" borderId="21" xfId="20" applyNumberFormat="1" applyFont="1" applyFill="1" applyBorder="1" applyAlignment="1">
      <alignment horizontal="right"/>
    </xf>
    <xf numFmtId="0" fontId="4" fillId="26" borderId="21" xfId="0" applyFont="1" applyFill="1" applyBorder="1" applyAlignment="1">
      <alignment horizontal="center"/>
    </xf>
    <xf numFmtId="4" fontId="4" fillId="0" borderId="22" xfId="20" applyNumberFormat="1" applyFont="1" applyBorder="1" applyAlignment="1">
      <alignment horizontal="right"/>
    </xf>
    <xf numFmtId="0" fontId="0" fillId="26" borderId="40" xfId="0" applyFill="1" applyBorder="1"/>
    <xf numFmtId="0" fontId="0" fillId="37" borderId="12" xfId="0" applyFill="1" applyBorder="1"/>
    <xf numFmtId="164" fontId="4" fillId="31" borderId="23" xfId="20" applyFont="1" applyFill="1" applyBorder="1" applyAlignment="1">
      <alignment horizontal="left"/>
    </xf>
    <xf numFmtId="0" fontId="4" fillId="31" borderId="23" xfId="20" applyNumberFormat="1" applyFont="1" applyFill="1" applyBorder="1" applyAlignment="1">
      <alignment horizontal="left"/>
    </xf>
    <xf numFmtId="4" fontId="4" fillId="31" borderId="23" xfId="20" applyNumberFormat="1" applyFont="1" applyFill="1" applyBorder="1" applyAlignment="1">
      <alignment horizontal="right"/>
    </xf>
    <xf numFmtId="0" fontId="4" fillId="26" borderId="41" xfId="0" applyFont="1" applyFill="1" applyBorder="1" applyAlignment="1">
      <alignment horizontal="center"/>
    </xf>
    <xf numFmtId="4" fontId="4" fillId="0" borderId="33" xfId="20" applyNumberFormat="1" applyFont="1" applyBorder="1" applyAlignment="1">
      <alignment horizontal="right"/>
    </xf>
    <xf numFmtId="0" fontId="0" fillId="37" borderId="32" xfId="0" applyFill="1" applyBorder="1"/>
    <xf numFmtId="0" fontId="0" fillId="26" borderId="39" xfId="0" applyFill="1" applyBorder="1"/>
    <xf numFmtId="164" fontId="4" fillId="31" borderId="0" xfId="20" applyFont="1" applyFill="1" applyBorder="1" applyAlignment="1">
      <alignment horizontal="left"/>
    </xf>
    <xf numFmtId="0" fontId="4" fillId="31" borderId="0" xfId="20" applyNumberFormat="1" applyFont="1" applyFill="1" applyBorder="1" applyAlignment="1">
      <alignment horizontal="left"/>
    </xf>
    <xf numFmtId="4" fontId="4" fillId="31" borderId="0" xfId="20" applyNumberFormat="1" applyFont="1" applyFill="1" applyBorder="1" applyAlignment="1">
      <alignment horizontal="right"/>
    </xf>
    <xf numFmtId="0" fontId="9" fillId="37" borderId="12" xfId="0" applyFont="1" applyFill="1" applyBorder="1"/>
    <xf numFmtId="0" fontId="4" fillId="0" borderId="23" xfId="20" applyNumberFormat="1" applyFont="1" applyBorder="1" applyAlignment="1">
      <alignment horizontal="left"/>
    </xf>
    <xf numFmtId="4" fontId="4" fillId="0" borderId="23" xfId="20" applyNumberFormat="1" applyFont="1" applyBorder="1" applyAlignment="1">
      <alignment horizontal="right"/>
    </xf>
    <xf numFmtId="0" fontId="0" fillId="31" borderId="0" xfId="0" applyFill="1" applyAlignment="1">
      <alignment horizontal="left" indent="2"/>
    </xf>
    <xf numFmtId="4" fontId="0" fillId="31" borderId="0" xfId="0" applyNumberFormat="1" applyFill="1"/>
    <xf numFmtId="4" fontId="57" fillId="26" borderId="12" xfId="0" applyNumberFormat="1" applyFont="1" applyFill="1" applyBorder="1"/>
    <xf numFmtId="4" fontId="57" fillId="26" borderId="42" xfId="0" applyNumberFormat="1" applyFont="1" applyFill="1" applyBorder="1"/>
    <xf numFmtId="0" fontId="43" fillId="31" borderId="0" xfId="88" applyFont="1" applyFill="1"/>
    <xf numFmtId="3" fontId="50" fillId="31" borderId="0" xfId="0" applyNumberFormat="1" applyFont="1" applyFill="1" applyAlignment="1">
      <alignment horizontal="right" vertical="center"/>
    </xf>
    <xf numFmtId="2" fontId="49" fillId="31" borderId="0" xfId="0" applyNumberFormat="1" applyFont="1" applyFill="1"/>
    <xf numFmtId="0" fontId="4" fillId="0" borderId="14" xfId="0" applyFont="1" applyBorder="1" applyAlignment="1">
      <alignment horizontal="center"/>
    </xf>
    <xf numFmtId="0" fontId="4" fillId="26" borderId="0" xfId="0" applyFont="1" applyFill="1" applyAlignment="1">
      <alignment horizontal="center"/>
    </xf>
    <xf numFmtId="0" fontId="2" fillId="37" borderId="27" xfId="0" applyFont="1" applyFill="1" applyBorder="1"/>
    <xf numFmtId="0" fontId="2" fillId="37" borderId="12" xfId="0" applyFont="1" applyFill="1" applyBorder="1"/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9" xfId="32" applyFont="1" applyBorder="1" applyAlignment="1">
      <alignment horizontal="center"/>
    </xf>
    <xf numFmtId="1" fontId="4" fillId="26" borderId="14" xfId="0" applyNumberFormat="1" applyFont="1" applyFill="1" applyBorder="1" applyAlignment="1">
      <alignment horizontal="center"/>
    </xf>
    <xf numFmtId="2" fontId="3" fillId="29" borderId="3" xfId="0" applyNumberFormat="1" applyFont="1" applyFill="1" applyBorder="1" applyAlignment="1">
      <alignment horizontal="center"/>
    </xf>
    <xf numFmtId="2" fontId="4" fillId="26" borderId="3" xfId="0" applyNumberFormat="1" applyFont="1" applyFill="1" applyBorder="1" applyAlignment="1">
      <alignment horizontal="center"/>
    </xf>
    <xf numFmtId="0" fontId="4" fillId="31" borderId="3" xfId="0" applyFont="1" applyFill="1" applyBorder="1" applyAlignment="1">
      <alignment horizontal="center"/>
    </xf>
    <xf numFmtId="0" fontId="4" fillId="0" borderId="3" xfId="20" applyNumberFormat="1" applyFont="1" applyBorder="1" applyAlignment="1">
      <alignment horizontal="center"/>
    </xf>
    <xf numFmtId="4" fontId="4" fillId="0" borderId="15" xfId="32" applyNumberFormat="1" applyFont="1" applyBorder="1" applyAlignment="1">
      <alignment horizontal="right"/>
    </xf>
    <xf numFmtId="4" fontId="3" fillId="29" borderId="3" xfId="32" applyNumberFormat="1" applyFont="1" applyFill="1" applyBorder="1" applyAlignment="1">
      <alignment horizontal="right"/>
    </xf>
    <xf numFmtId="0" fontId="4" fillId="0" borderId="3" xfId="20" applyNumberFormat="1" applyFont="1" applyBorder="1" applyAlignment="1">
      <alignment horizontal="right"/>
    </xf>
    <xf numFmtId="0" fontId="0" fillId="0" borderId="21" xfId="0" applyBorder="1" applyAlignment="1">
      <alignment horizontal="center" wrapText="1"/>
    </xf>
    <xf numFmtId="0" fontId="2" fillId="33" borderId="27" xfId="0" applyFont="1" applyFill="1" applyBorder="1"/>
    <xf numFmtId="0" fontId="2" fillId="33" borderId="12" xfId="0" applyFont="1" applyFill="1" applyBorder="1"/>
    <xf numFmtId="0" fontId="0" fillId="39" borderId="0" xfId="0" applyFill="1"/>
    <xf numFmtId="0" fontId="2" fillId="34" borderId="32" xfId="0" applyFont="1" applyFill="1" applyBorder="1"/>
    <xf numFmtId="0" fontId="59" fillId="31" borderId="0" xfId="88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right"/>
    </xf>
    <xf numFmtId="4" fontId="9" fillId="0" borderId="3" xfId="0" applyNumberFormat="1" applyFont="1" applyBorder="1" applyAlignment="1">
      <alignment horizontal="center" vertical="center"/>
    </xf>
    <xf numFmtId="0" fontId="0" fillId="37" borderId="3" xfId="0" applyFill="1" applyBorder="1"/>
    <xf numFmtId="0" fontId="8" fillId="31" borderId="0" xfId="0" applyFont="1" applyFill="1" applyAlignment="1">
      <alignment horizontal="center"/>
    </xf>
    <xf numFmtId="0" fontId="13" fillId="0" borderId="3" xfId="26" applyFont="1" applyBorder="1" applyAlignment="1">
      <alignment horizontal="center"/>
      <protection/>
    </xf>
    <xf numFmtId="0" fontId="8" fillId="31" borderId="28" xfId="0" applyFont="1" applyFill="1" applyBorder="1" applyAlignment="1">
      <alignment horizontal="center"/>
    </xf>
    <xf numFmtId="0" fontId="8" fillId="31" borderId="0" xfId="22" applyFont="1" applyFill="1" applyAlignment="1">
      <alignment horizontal="center"/>
      <protection/>
    </xf>
    <xf numFmtId="0" fontId="9" fillId="37" borderId="3" xfId="0" applyFont="1" applyFill="1" applyBorder="1"/>
    <xf numFmtId="0" fontId="8" fillId="31" borderId="0" xfId="23" applyFont="1" applyFill="1" applyAlignment="1">
      <alignment horizontal="center"/>
      <protection/>
    </xf>
    <xf numFmtId="0" fontId="4" fillId="0" borderId="3" xfId="0" applyFont="1" applyBorder="1" applyAlignment="1">
      <alignment horizontal="right"/>
    </xf>
    <xf numFmtId="0" fontId="8" fillId="31" borderId="44" xfId="0" applyFont="1" applyFill="1" applyBorder="1" applyAlignment="1">
      <alignment horizontal="center"/>
    </xf>
    <xf numFmtId="0" fontId="3" fillId="31" borderId="3" xfId="0" applyFont="1" applyFill="1" applyBorder="1" applyAlignment="1">
      <alignment horizontal="center"/>
    </xf>
    <xf numFmtId="0" fontId="8" fillId="31" borderId="0" xfId="0" applyFont="1" applyFill="1"/>
    <xf numFmtId="2" fontId="8" fillId="31" borderId="0" xfId="0" applyNumberFormat="1" applyFont="1" applyFill="1"/>
    <xf numFmtId="0" fontId="3" fillId="29" borderId="3" xfId="0" applyFont="1" applyFill="1" applyBorder="1"/>
    <xf numFmtId="0" fontId="8" fillId="31" borderId="9" xfId="0" applyFont="1" applyFill="1" applyBorder="1"/>
    <xf numFmtId="169" fontId="8" fillId="31" borderId="0" xfId="0" applyNumberFormat="1" applyFont="1" applyFill="1"/>
    <xf numFmtId="1" fontId="8" fillId="31" borderId="0" xfId="0" applyNumberFormat="1" applyFont="1" applyFill="1" applyAlignment="1">
      <alignment horizontal="right"/>
    </xf>
    <xf numFmtId="1" fontId="8" fillId="31" borderId="36" xfId="0" applyNumberFormat="1" applyFont="1" applyFill="1" applyBorder="1" applyAlignment="1">
      <alignment horizontal="right"/>
    </xf>
    <xf numFmtId="0" fontId="8" fillId="31" borderId="45" xfId="0" applyFont="1" applyFill="1" applyBorder="1" applyAlignment="1">
      <alignment horizontal="center"/>
    </xf>
    <xf numFmtId="0" fontId="8" fillId="31" borderId="18" xfId="0" applyFont="1" applyFill="1" applyBorder="1" applyAlignment="1">
      <alignment horizontal="center"/>
    </xf>
    <xf numFmtId="0" fontId="8" fillId="31" borderId="46" xfId="0" applyFont="1" applyFill="1" applyBorder="1" applyAlignment="1">
      <alignment horizontal="center"/>
    </xf>
    <xf numFmtId="0" fontId="8" fillId="31" borderId="13" xfId="0" applyFont="1" applyFill="1" applyBorder="1" applyAlignment="1">
      <alignment horizontal="center"/>
    </xf>
    <xf numFmtId="0" fontId="20" fillId="0" borderId="3" xfId="0" applyFont="1" applyBorder="1"/>
    <xf numFmtId="0" fontId="8" fillId="0" borderId="3" xfId="0" applyFont="1" applyBorder="1" applyAlignment="1">
      <alignment horizontal="left"/>
    </xf>
    <xf numFmtId="0" fontId="8" fillId="31" borderId="36" xfId="0" applyFont="1" applyFill="1" applyBorder="1"/>
    <xf numFmtId="0" fontId="8" fillId="31" borderId="0" xfId="0" applyFont="1" applyFill="1" applyAlignment="1">
      <alignment horizontal="right"/>
    </xf>
    <xf numFmtId="0" fontId="8" fillId="31" borderId="14" xfId="0" applyFont="1" applyFill="1" applyBorder="1"/>
    <xf numFmtId="1" fontId="8" fillId="0" borderId="3" xfId="22" applyNumberFormat="1" applyFont="1" applyBorder="1" applyAlignment="1">
      <alignment horizontal="right"/>
      <protection/>
    </xf>
    <xf numFmtId="0" fontId="8" fillId="0" borderId="30" xfId="0" applyFont="1" applyBorder="1" applyAlignment="1">
      <alignment horizontal="right"/>
    </xf>
    <xf numFmtId="0" fontId="53" fillId="35" borderId="3" xfId="0" applyFont="1" applyFill="1" applyBorder="1" applyAlignment="1">
      <alignment horizontal="center" wrapText="1"/>
    </xf>
    <xf numFmtId="0" fontId="53" fillId="35" borderId="3" xfId="0" applyFont="1" applyFill="1" applyBorder="1" applyAlignment="1">
      <alignment horizontal="center"/>
    </xf>
    <xf numFmtId="3" fontId="53" fillId="35" borderId="3" xfId="0" applyNumberFormat="1" applyFont="1" applyFill="1" applyBorder="1" applyAlignment="1">
      <alignment horizontal="center" wrapText="1"/>
    </xf>
    <xf numFmtId="0" fontId="60" fillId="0" borderId="3" xfId="0" applyFont="1" applyBorder="1" applyAlignment="1">
      <alignment horizontal="right"/>
    </xf>
    <xf numFmtId="0" fontId="60" fillId="0" borderId="3" xfId="0" applyFont="1" applyBorder="1"/>
    <xf numFmtId="0" fontId="50" fillId="0" borderId="3" xfId="0" applyFont="1" applyBorder="1" applyAlignment="1">
      <alignment horizontal="center" vertical="center"/>
    </xf>
    <xf numFmtId="4" fontId="50" fillId="0" borderId="3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1" fillId="0" borderId="0" xfId="0" applyFont="1" applyAlignment="1">
      <alignment horizontal="left" vertical="top" wrapText="1"/>
    </xf>
    <xf numFmtId="0" fontId="61" fillId="0" borderId="0" xfId="0" applyFont="1" applyAlignment="1">
      <alignment horizontal="center" vertical="top" wrapText="1"/>
    </xf>
    <xf numFmtId="0" fontId="61" fillId="31" borderId="0" xfId="0" applyFont="1" applyFill="1" applyAlignment="1">
      <alignment horizontal="left" vertical="top" wrapText="1"/>
    </xf>
    <xf numFmtId="0" fontId="61" fillId="31" borderId="0" xfId="0" applyFont="1" applyFill="1" applyAlignment="1">
      <alignment horizontal="center" vertical="top" wrapText="1"/>
    </xf>
    <xf numFmtId="0" fontId="8" fillId="0" borderId="36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4" fillId="0" borderId="0" xfId="88" applyFont="1" applyFill="1" quotePrefix="1"/>
    <xf numFmtId="0" fontId="0" fillId="31" borderId="31" xfId="0" applyFill="1" applyBorder="1" applyAlignment="1">
      <alignment horizontal="left" indent="2"/>
    </xf>
    <xf numFmtId="0" fontId="0" fillId="31" borderId="23" xfId="0" applyFill="1" applyBorder="1"/>
    <xf numFmtId="4" fontId="0" fillId="31" borderId="23" xfId="0" applyNumberFormat="1" applyFill="1" applyBorder="1"/>
    <xf numFmtId="4" fontId="0" fillId="31" borderId="38" xfId="0" applyNumberFormat="1" applyFill="1" applyBorder="1"/>
    <xf numFmtId="0" fontId="0" fillId="31" borderId="3" xfId="0" applyFill="1" applyBorder="1" applyAlignment="1">
      <alignment horizontal="left" indent="2"/>
    </xf>
    <xf numFmtId="0" fontId="0" fillId="31" borderId="3" xfId="0" applyFill="1" applyBorder="1"/>
    <xf numFmtId="4" fontId="0" fillId="31" borderId="3" xfId="0" applyNumberFormat="1" applyFill="1" applyBorder="1"/>
    <xf numFmtId="0" fontId="44" fillId="31" borderId="3" xfId="88" applyFont="1" applyFill="1" applyBorder="1"/>
    <xf numFmtId="0" fontId="42" fillId="0" borderId="0" xfId="88"/>
    <xf numFmtId="0" fontId="42" fillId="0" borderId="0" xfId="88" applyBorder="1"/>
    <xf numFmtId="0" fontId="42" fillId="31" borderId="23" xfId="88" applyFill="1" applyBorder="1"/>
    <xf numFmtId="0" fontId="9" fillId="0" borderId="29" xfId="0" applyFont="1" applyBorder="1" applyAlignment="1">
      <alignment horizontal="center"/>
    </xf>
    <xf numFmtId="0" fontId="9" fillId="0" borderId="35" xfId="0" applyFont="1" applyBorder="1" applyAlignment="1">
      <alignment horizontal="center"/>
    </xf>
    <xf numFmtId="0" fontId="9" fillId="0" borderId="37" xfId="0" applyFont="1" applyBorder="1" applyAlignment="1">
      <alignment horizontal="center"/>
    </xf>
    <xf numFmtId="49" fontId="46" fillId="0" borderId="29" xfId="0" applyNumberFormat="1" applyFont="1" applyBorder="1" applyAlignment="1">
      <alignment horizontal="center"/>
    </xf>
    <xf numFmtId="49" fontId="46" fillId="0" borderId="35" xfId="0" applyNumberFormat="1" applyFont="1" applyBorder="1" applyAlignment="1">
      <alignment horizontal="center"/>
    </xf>
    <xf numFmtId="49" fontId="46" fillId="0" borderId="37" xfId="0" applyNumberFormat="1" applyFont="1" applyBorder="1" applyAlignment="1">
      <alignment horizontal="center"/>
    </xf>
    <xf numFmtId="0" fontId="7" fillId="35" borderId="29" xfId="0" applyFont="1" applyFill="1" applyBorder="1" applyAlignment="1">
      <alignment horizontal="center"/>
    </xf>
    <xf numFmtId="0" fontId="7" fillId="35" borderId="35" xfId="0" applyFont="1" applyFill="1" applyBorder="1" applyAlignment="1">
      <alignment horizontal="center"/>
    </xf>
    <xf numFmtId="0" fontId="7" fillId="35" borderId="37" xfId="0" applyFont="1" applyFill="1" applyBorder="1" applyAlignment="1">
      <alignment horizontal="center"/>
    </xf>
    <xf numFmtId="0" fontId="46" fillId="0" borderId="29" xfId="0" applyFont="1" applyBorder="1" applyAlignment="1">
      <alignment horizontal="center"/>
    </xf>
    <xf numFmtId="0" fontId="46" fillId="0" borderId="35" xfId="0" applyFont="1" applyBorder="1" applyAlignment="1">
      <alignment horizontal="center"/>
    </xf>
    <xf numFmtId="0" fontId="46" fillId="0" borderId="37" xfId="0" applyFont="1" applyBorder="1" applyAlignment="1">
      <alignment horizontal="center"/>
    </xf>
    <xf numFmtId="2" fontId="46" fillId="0" borderId="29" xfId="0" applyNumberFormat="1" applyFont="1" applyBorder="1" applyAlignment="1">
      <alignment horizontal="center"/>
    </xf>
    <xf numFmtId="2" fontId="46" fillId="0" borderId="35" xfId="0" applyNumberFormat="1" applyFont="1" applyBorder="1" applyAlignment="1">
      <alignment horizontal="center"/>
    </xf>
    <xf numFmtId="2" fontId="46" fillId="0" borderId="37" xfId="0" applyNumberFormat="1" applyFont="1" applyBorder="1" applyAlignment="1">
      <alignment horizontal="center"/>
    </xf>
    <xf numFmtId="171" fontId="7" fillId="35" borderId="29" xfId="64" applyFont="1" applyFill="1" applyBorder="1" applyAlignment="1">
      <alignment horizontal="center"/>
    </xf>
    <xf numFmtId="171" fontId="7" fillId="35" borderId="35" xfId="64" applyFont="1" applyFill="1" applyBorder="1" applyAlignment="1">
      <alignment horizontal="center"/>
    </xf>
    <xf numFmtId="171" fontId="7" fillId="35" borderId="37" xfId="64" applyFont="1" applyFill="1" applyBorder="1" applyAlignment="1">
      <alignment horizontal="center"/>
    </xf>
    <xf numFmtId="0" fontId="46" fillId="0" borderId="29" xfId="0" applyFont="1" applyBorder="1" applyAlignment="1">
      <alignment horizontal="center" wrapText="1"/>
    </xf>
    <xf numFmtId="0" fontId="46" fillId="0" borderId="35" xfId="0" applyFont="1" applyBorder="1" applyAlignment="1">
      <alignment horizontal="center" wrapText="1"/>
    </xf>
    <xf numFmtId="0" fontId="46" fillId="0" borderId="37" xfId="0" applyFont="1" applyBorder="1" applyAlignment="1">
      <alignment horizontal="center" wrapText="1"/>
    </xf>
    <xf numFmtId="0" fontId="9" fillId="0" borderId="3" xfId="0" applyFont="1" applyBorder="1" applyAlignment="1">
      <alignment horizontal="center"/>
    </xf>
    <xf numFmtId="0" fontId="3" fillId="25" borderId="47" xfId="0" applyFont="1" applyFill="1" applyBorder="1" applyAlignment="1">
      <alignment horizontal="left"/>
    </xf>
    <xf numFmtId="0" fontId="3" fillId="25" borderId="42" xfId="0" applyFont="1" applyFill="1" applyBorder="1" applyAlignment="1">
      <alignment horizontal="left"/>
    </xf>
    <xf numFmtId="0" fontId="17" fillId="25" borderId="27" xfId="0" applyFont="1" applyFill="1" applyBorder="1" applyAlignment="1">
      <alignment horizontal="center" vertical="center"/>
    </xf>
    <xf numFmtId="0" fontId="17" fillId="25" borderId="48" xfId="0" applyFont="1" applyFill="1" applyBorder="1" applyAlignment="1">
      <alignment horizontal="center" vertical="center"/>
    </xf>
    <xf numFmtId="0" fontId="17" fillId="25" borderId="40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/>
    </xf>
    <xf numFmtId="0" fontId="17" fillId="25" borderId="47" xfId="0" applyFont="1" applyFill="1" applyBorder="1" applyAlignment="1">
      <alignment horizontal="center" vertical="center"/>
    </xf>
    <xf numFmtId="0" fontId="17" fillId="25" borderId="42" xfId="0" applyFont="1" applyFill="1" applyBorder="1" applyAlignment="1">
      <alignment horizontal="center" vertical="center"/>
    </xf>
    <xf numFmtId="0" fontId="6" fillId="25" borderId="48" xfId="0" applyFont="1" applyFill="1" applyBorder="1" applyAlignment="1">
      <alignment horizontal="center"/>
    </xf>
    <xf numFmtId="0" fontId="6" fillId="25" borderId="40" xfId="0" applyFont="1" applyFill="1" applyBorder="1" applyAlignment="1">
      <alignment horizontal="center"/>
    </xf>
    <xf numFmtId="0" fontId="3" fillId="27" borderId="48" xfId="0" applyFont="1" applyFill="1" applyBorder="1" applyAlignment="1">
      <alignment horizontal="left"/>
    </xf>
    <xf numFmtId="0" fontId="3" fillId="27" borderId="40" xfId="0" applyFont="1" applyFill="1" applyBorder="1" applyAlignment="1">
      <alignment horizontal="left"/>
    </xf>
    <xf numFmtId="0" fontId="3" fillId="27" borderId="47" xfId="0" applyFont="1" applyFill="1" applyBorder="1" applyAlignment="1">
      <alignment horizontal="left"/>
    </xf>
    <xf numFmtId="0" fontId="3" fillId="27" borderId="42" xfId="0" applyFont="1" applyFill="1" applyBorder="1" applyAlignment="1">
      <alignment horizontal="left"/>
    </xf>
    <xf numFmtId="0" fontId="3" fillId="26" borderId="48" xfId="0" applyFont="1" applyFill="1" applyBorder="1" applyAlignment="1">
      <alignment horizontal="left"/>
    </xf>
    <xf numFmtId="0" fontId="3" fillId="26" borderId="40" xfId="0" applyFont="1" applyFill="1" applyBorder="1" applyAlignment="1">
      <alignment horizontal="left"/>
    </xf>
    <xf numFmtId="0" fontId="3" fillId="26" borderId="47" xfId="0" applyFont="1" applyFill="1" applyBorder="1" applyAlignment="1">
      <alignment horizontal="left"/>
    </xf>
    <xf numFmtId="0" fontId="3" fillId="26" borderId="42" xfId="0" applyFont="1" applyFill="1" applyBorder="1" applyAlignment="1">
      <alignment horizontal="left"/>
    </xf>
    <xf numFmtId="0" fontId="3" fillId="34" borderId="48" xfId="0" applyFont="1" applyFill="1" applyBorder="1" applyAlignment="1">
      <alignment horizontal="left"/>
    </xf>
    <xf numFmtId="0" fontId="3" fillId="34" borderId="40" xfId="0" applyFont="1" applyFill="1" applyBorder="1" applyAlignment="1">
      <alignment horizontal="left"/>
    </xf>
    <xf numFmtId="0" fontId="3" fillId="34" borderId="47" xfId="0" applyFont="1" applyFill="1" applyBorder="1" applyAlignment="1">
      <alignment horizontal="left"/>
    </xf>
    <xf numFmtId="0" fontId="3" fillId="34" borderId="42" xfId="0" applyFont="1" applyFill="1" applyBorder="1" applyAlignment="1">
      <alignment horizontal="left"/>
    </xf>
    <xf numFmtId="0" fontId="3" fillId="25" borderId="48" xfId="0" applyFont="1" applyFill="1" applyBorder="1" applyAlignment="1">
      <alignment horizontal="left"/>
    </xf>
    <xf numFmtId="0" fontId="3" fillId="25" borderId="40" xfId="0" applyFont="1" applyFill="1" applyBorder="1" applyAlignment="1">
      <alignment horizontal="left"/>
    </xf>
    <xf numFmtId="0" fontId="17" fillId="25" borderId="32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39" xfId="0" applyFont="1" applyFill="1" applyBorder="1" applyAlignment="1">
      <alignment horizontal="center" vertical="center"/>
    </xf>
    <xf numFmtId="0" fontId="3" fillId="25" borderId="0" xfId="0" applyFont="1" applyFill="1" applyAlignment="1">
      <alignment horizontal="left"/>
    </xf>
    <xf numFmtId="0" fontId="3" fillId="25" borderId="39" xfId="0" applyFont="1" applyFill="1" applyBorder="1" applyAlignment="1">
      <alignment horizontal="left"/>
    </xf>
    <xf numFmtId="0" fontId="3" fillId="37" borderId="48" xfId="0" applyFont="1" applyFill="1" applyBorder="1" applyAlignment="1">
      <alignment horizontal="left"/>
    </xf>
    <xf numFmtId="0" fontId="3" fillId="37" borderId="40" xfId="0" applyFont="1" applyFill="1" applyBorder="1" applyAlignment="1">
      <alignment horizontal="left"/>
    </xf>
    <xf numFmtId="0" fontId="3" fillId="37" borderId="47" xfId="0" applyFont="1" applyFill="1" applyBorder="1" applyAlignment="1">
      <alignment horizontal="left"/>
    </xf>
    <xf numFmtId="0" fontId="3" fillId="37" borderId="42" xfId="0" applyFont="1" applyFill="1" applyBorder="1" applyAlignment="1">
      <alignment horizontal="left"/>
    </xf>
  </cellXfs>
  <cellStyles count="75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Moneda" xfId="20" builtinId="4"/>
    <cellStyle name="Millares" xfId="21" builtinId="3"/>
    <cellStyle name="Normal 7" xfId="22"/>
    <cellStyle name="Normal 3" xfId="23"/>
    <cellStyle name="Normal 11" xfId="24"/>
    <cellStyle name="Normal_JDE Pricing 11.5.08" xfId="25"/>
    <cellStyle name="Normal_BM-CHINA" xfId="26"/>
    <cellStyle name="Normal 6" xfId="27"/>
    <cellStyle name="Normal 2" xfId="28"/>
    <cellStyle name="Normal 4" xfId="29"/>
    <cellStyle name="Normal 5" xfId="30"/>
    <cellStyle name="Normal 8" xfId="31"/>
    <cellStyle name="Currency 3" xfId="32"/>
    <cellStyle name="Normal 2 2" xfId="33"/>
    <cellStyle name="Normal 3 2" xfId="34"/>
    <cellStyle name="20% - Accent1 2" xfId="35"/>
    <cellStyle name="20% - Accent2 2" xfId="36"/>
    <cellStyle name="20% - Accent3 2" xfId="37"/>
    <cellStyle name="20% - Accent4 2" xfId="38"/>
    <cellStyle name="20% - Accent5 2" xfId="39"/>
    <cellStyle name="20% - Accent6 2" xfId="40"/>
    <cellStyle name="40% - Accent1 2" xfId="41"/>
    <cellStyle name="40% - Accent2 2" xfId="42"/>
    <cellStyle name="40% - Accent3 2" xfId="43"/>
    <cellStyle name="40% - Accent4 2" xfId="44"/>
    <cellStyle name="40% - Accent5 2" xfId="45"/>
    <cellStyle name="40% - Accent6 2" xfId="46"/>
    <cellStyle name="60% - Accent1 2" xfId="47"/>
    <cellStyle name="60% - Accent2 2" xfId="48"/>
    <cellStyle name="60% - Accent3 2" xfId="49"/>
    <cellStyle name="60% - Accent4 2" xfId="50"/>
    <cellStyle name="60% - Accent5 2" xfId="51"/>
    <cellStyle name="60% - Accent6 2" xfId="52"/>
    <cellStyle name="Accent1 2" xfId="53"/>
    <cellStyle name="Accent2 2" xfId="54"/>
    <cellStyle name="Accent3 2" xfId="55"/>
    <cellStyle name="Accent4 2" xfId="56"/>
    <cellStyle name="Accent5 2" xfId="57"/>
    <cellStyle name="Accent6 2" xfId="58"/>
    <cellStyle name="Bad 2" xfId="59"/>
    <cellStyle name="Calculation 2" xfId="60"/>
    <cellStyle name="Check Cell 2" xfId="61"/>
    <cellStyle name="Currency 2" xfId="62"/>
    <cellStyle name="Description" xfId="63"/>
    <cellStyle name="Euro" xfId="64"/>
    <cellStyle name="Euro 2" xfId="65"/>
    <cellStyle name="Explanatory Text 2" xfId="66"/>
    <cellStyle name="Good 2" xfId="67"/>
    <cellStyle name="Heading 1 2" xfId="68"/>
    <cellStyle name="Heading 2 2" xfId="69"/>
    <cellStyle name="Heading 3 2" xfId="70"/>
    <cellStyle name="Heading 4 2" xfId="71"/>
    <cellStyle name="Input 2" xfId="72"/>
    <cellStyle name="Linked Cell 2" xfId="73"/>
    <cellStyle name="Neutral 2" xfId="74"/>
    <cellStyle name="Note 2" xfId="75"/>
    <cellStyle name="Numbers" xfId="76"/>
    <cellStyle name="Order Factor" xfId="77"/>
    <cellStyle name="Output 2" xfId="78"/>
    <cellStyle name="SubHeader" xfId="79"/>
    <cellStyle name="Title 2" xfId="80"/>
    <cellStyle name="Total 2" xfId="81"/>
    <cellStyle name="Warning Text 2" xfId="82"/>
    <cellStyle name="Normal 9" xfId="83"/>
    <cellStyle name="Normal 13" xfId="84"/>
    <cellStyle name="Normal 14" xfId="85"/>
    <cellStyle name="Normal 12" xfId="86"/>
    <cellStyle name="Normal 10" xfId="87"/>
    <cellStyle name="Hipervínculo" xfId="88" builtinId="8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4" Type="http://schemas.openxmlformats.org/officeDocument/2006/relationships/worksheet" Target="worksheets/sheet12.xml" /><Relationship Id="rId13" Type="http://schemas.openxmlformats.org/officeDocument/2006/relationships/worksheet" Target="worksheets/sheet11.xml" /><Relationship Id="rId18" Type="http://schemas.openxmlformats.org/officeDocument/2006/relationships/worksheet" Target="worksheets/sheet16.xml" /><Relationship Id="rId7" Type="http://schemas.openxmlformats.org/officeDocument/2006/relationships/worksheet" Target="worksheets/sheet5.xml" /><Relationship Id="rId21" Type="http://schemas.openxmlformats.org/officeDocument/2006/relationships/customXml" Target="../customXml/item1.xml" /><Relationship Id="rId16" Type="http://schemas.openxmlformats.org/officeDocument/2006/relationships/worksheet" Target="worksheets/sheet14.xml" /><Relationship Id="rId23" Type="http://schemas.openxmlformats.org/officeDocument/2006/relationships/calcChain" Target="calcChain.xml" /><Relationship Id="rId22" Type="http://schemas.openxmlformats.org/officeDocument/2006/relationships/externalLink" Target="externalLinks/externalLink1.xml" /><Relationship Id="rId17" Type="http://schemas.openxmlformats.org/officeDocument/2006/relationships/worksheet" Target="worksheets/sheet15.xml" /><Relationship Id="rId12" Type="http://schemas.openxmlformats.org/officeDocument/2006/relationships/worksheet" Target="worksheets/sheet10.xml" /><Relationship Id="rId9" Type="http://schemas.openxmlformats.org/officeDocument/2006/relationships/worksheet" Target="worksheets/sheet7.xml" /><Relationship Id="rId2" Type="http://schemas.openxmlformats.org/officeDocument/2006/relationships/styles" Target="styles.xml" /><Relationship Id="rId15" Type="http://schemas.openxmlformats.org/officeDocument/2006/relationships/worksheet" Target="worksheets/sheet13.xml" /><Relationship Id="rId8" Type="http://schemas.openxmlformats.org/officeDocument/2006/relationships/worksheet" Target="worksheets/sheet6.xml" /><Relationship Id="rId3" Type="http://schemas.openxmlformats.org/officeDocument/2006/relationships/worksheet" Target="worksheets/sheet1.xml" /><Relationship Id="rId20" Type="http://schemas.openxmlformats.org/officeDocument/2006/relationships/sharedStrings" Target="sharedStrings.xml" /><Relationship Id="rId1" Type="http://schemas.openxmlformats.org/officeDocument/2006/relationships/theme" Target="theme/theme1.xml" /><Relationship Id="rId4" Type="http://schemas.openxmlformats.org/officeDocument/2006/relationships/worksheet" Target="worksheets/sheet2.xml" /><Relationship Id="rId11" Type="http://schemas.openxmlformats.org/officeDocument/2006/relationships/worksheet" Target="worksheets/sheet9.xml" /><Relationship Id="rId19" Type="http://schemas.openxmlformats.org/officeDocument/2006/relationships/worksheet" Target="worksheets/sheet17.xml" /><Relationship Id="rId5" Type="http://schemas.openxmlformats.org/officeDocument/2006/relationships/worksheet" Target="worksheets/sheet3.xml" /><Relationship Id="rId6" Type="http://schemas.openxmlformats.org/officeDocument/2006/relationships/worksheet" Target="worksheets/sheet4.xml" /><Relationship Id="rId10" Type="http://schemas.openxmlformats.org/officeDocument/2006/relationships/worksheet" Target="worksheets/sheet8.xml" /></Relationships>
</file>

<file path=xl/ctrProps/ctrProp1.xml><?xml version="1.0" encoding="utf-8"?>
<formControlPr xmlns="http://schemas.microsoft.com/office/spreadsheetml/2009/9/main" objectType="Radio" checked="Checked" lockText="1" noThreeD="1"/>
</file>

<file path=xl/ctrProps/ctrProp2.xml><?xml version="1.0" encoding="utf-8"?>
<formControlPr xmlns="http://schemas.microsoft.com/office/spreadsheetml/2009/9/main" objectType="Radio" lockText="1" noThreeD="1"/>
</file>

<file path=xl/ctrProps/ctrProp3.xml><?xml version="1.0" encoding="utf-8"?>
<formControlPr xmlns="http://schemas.microsoft.com/office/spreadsheetml/2009/9/main" objectType="Radio" lockText="1" noThreeD="1"/>
</file>

<file path=xl/ctrProps/ctrProp4.xml><?xml version="1.0" encoding="utf-8"?>
<formControlPr xmlns="http://schemas.microsoft.com/office/spreadsheetml/2009/9/main" objectType="Radio" lockText="1" noThreeD="1"/>
</file>

<file path=xl/ctrProps/ctrProp5.xml><?xml version="1.0" encoding="utf-8"?>
<formControlPr xmlns="http://schemas.microsoft.com/office/spreadsheetml/2009/9/main" objectType="Radio" lockText="1" noThreeD="1"/>
</file>

<file path=xl/ctrProps/ctrProp6.xml><?xml version="1.0" encoding="utf-8"?>
<formControlPr xmlns="http://schemas.microsoft.com/office/spreadsheetml/2009/9/main" objectType="Radio" lockText="1" noThreeD="1"/>
</file>

<file path=xl/ctrProps/ctrProp7.xml><?xml version="1.0" encoding="utf-8"?>
<formControlPr xmlns="http://schemas.microsoft.com/office/spreadsheetml/2009/9/main" objectType="Radio" lockText="1" noThreeD="1"/>
</file>

<file path=xl/ctrProps/ctrProp8.xml><?xml version="1.0" encoding="utf-8"?>
<formControlPr xmlns="http://schemas.microsoft.com/office/spreadsheetml/2009/9/main" objectType="Button" lockText="1"/>
</file>

<file path=xl/ctrProps/ctrProp9.xml><?xml version="1.0" encoding="utf-8"?>
<formControlPr xmlns="http://schemas.microsoft.com/office/spreadsheetml/2009/9/main" objectType="Button" lockText="1"/>
</file>

<file path=xl/ctrProps/ctrProp10.xml><?xml version="1.0" encoding="utf-8"?>
<formControlPr xmlns="http://schemas.microsoft.com/office/spreadsheetml/2009/9/main" objectType="Button" lockText="1"/>
</file>

<file path=xl/ctrProps/ctrProp11.xml><?xml version="1.0" encoding="utf-8"?>
<formControlPr xmlns="http://schemas.microsoft.com/office/spreadsheetml/2009/9/main" objectType="Button" lockText="1"/>
</file>

<file path=xl/ctrProps/ctrProp12.xml><?xml version="1.0" encoding="utf-8"?>
<formControlPr xmlns="http://schemas.microsoft.com/office/spreadsheetml/2009/9/main" objectType="Radio" lockText="1" noThreeD="1"/>
</file>

<file path=xl/ctrProps/ctrProp13.xml><?xml version="1.0" encoding="utf-8"?>
<formControlPr xmlns="http://schemas.microsoft.com/office/spreadsheetml/2009/9/main" objectType="Radio" lockText="1" noThreeD="1"/>
</file>

<file path=xl/ctrProps/ctrProp14.xml><?xml version="1.0" encoding="utf-8"?>
<formControlPr xmlns="http://schemas.microsoft.com/office/spreadsheetml/2009/9/main" objectType="Radio" lockText="1" noThreeD="1"/>
</file>

<file path=xl/ctrProps/ctrProp15.xml><?xml version="1.0" encoding="utf-8"?>
<formControlPr xmlns="http://schemas.microsoft.com/office/spreadsheetml/2009/9/main" objectType="Radio" lockText="1" noThreeD="1"/>
</file>

<file path=xl/ctrProps/ctrProp16.xml><?xml version="1.0" encoding="utf-8"?>
<formControlPr xmlns="http://schemas.microsoft.com/office/spreadsheetml/2009/9/main" objectType="Radio" lockText="1" noThreeD="1"/>
</file>

<file path=xl/ctrProps/ctrProp17.xml><?xml version="1.0" encoding="utf-8"?>
<formControlPr xmlns="http://schemas.microsoft.com/office/spreadsheetml/2009/9/main" objectType="Radio" lockText="1" noThreeD="1"/>
</file>

<file path=xl/ctrProps/ctrProp18.xml><?xml version="1.0" encoding="utf-8"?>
<formControlPr xmlns="http://schemas.microsoft.com/office/spreadsheetml/2009/9/main" objectType="Radio" lockText="1" noThreeD="1"/>
</file>

<file path=xl/ctrProps/ctrProp19.xml><?xml version="1.0" encoding="utf-8"?>
<formControlPr xmlns="http://schemas.microsoft.com/office/spreadsheetml/2009/9/main" objectType="Radio" lockText="1" noThreeD="1"/>
</file>

<file path=xl/ctrProps/ctrProp20.xml><?xml version="1.0" encoding="utf-8"?>
<formControlPr xmlns="http://schemas.microsoft.com/office/spreadsheetml/2009/9/main" objectType="Radio" checked="Checked" lockText="1" noThreeD="1"/>
</file>

<file path=xl/ctrProps/ctrProp21.xml><?xml version="1.0" encoding="utf-8"?>
<formControlPr xmlns="http://schemas.microsoft.com/office/spreadsheetml/2009/9/main" objectType="Radio" lockText="1" noThreeD="1"/>
</file>

<file path=xl/ctrProps/ctrProp22.xml><?xml version="1.0" encoding="utf-8"?>
<formControlPr xmlns="http://schemas.microsoft.com/office/spreadsheetml/2009/9/main" objectType="Radio" lockText="1" noThreeD="1"/>
</file>

<file path=xl/ctrProps/ctrProp23.xml><?xml version="1.0" encoding="utf-8"?>
<formControlPr xmlns="http://schemas.microsoft.com/office/spreadsheetml/2009/9/main" objectType="Radio" lockText="1" noThreeD="1"/>
</file>

<file path=xl/ctrProps/ctrProp24.xml><?xml version="1.0" encoding="utf-8"?>
<formControlPr xmlns="http://schemas.microsoft.com/office/spreadsheetml/2009/9/main" objectType="Radio" lockText="1" noThreeD="1"/>
</file>

<file path=xl/ctrProps/ctrProp25.xml><?xml version="1.0" encoding="utf-8"?>
<formControlPr xmlns="http://schemas.microsoft.com/office/spreadsheetml/2009/9/main" objectType="Radio" lockText="1" noThreeD="1"/>
</file>

<file path=xl/ctrProps/ctrProp26.xml><?xml version="1.0" encoding="utf-8"?>
<formControlPr xmlns="http://schemas.microsoft.com/office/spreadsheetml/2009/9/main" objectType="Radio" lockText="1" noThreeD="1"/>
</file>

<file path=xl/ctrProps/ctrProp27.xml><?xml version="1.0" encoding="utf-8"?>
<formControlPr xmlns="http://schemas.microsoft.com/office/spreadsheetml/2009/9/main" objectType="Radio" lockText="1" noThreeD="1"/>
</file>

<file path=xl/ctrProps/ctrProp28.xml><?xml version="1.0" encoding="utf-8"?>
<formControlPr xmlns="http://schemas.microsoft.com/office/spreadsheetml/2009/9/main" objectType="Radio" lockText="1" noThreeD="1"/>
</file>

<file path=xl/ctrProps/ctrProp29.xml><?xml version="1.0" encoding="utf-8"?>
<formControlPr xmlns="http://schemas.microsoft.com/office/spreadsheetml/2009/9/main" objectType="Radio" lockText="1" noThreeD="1"/>
</file>

<file path=xl/ctrProps/ctrProp30.xml><?xml version="1.0" encoding="utf-8"?>
<formControlPr xmlns="http://schemas.microsoft.com/office/spreadsheetml/2009/9/main" objectType="Radio" lockText="1" noThreeD="1"/>
</file>

<file path=xl/ctrProps/ctrProp31.xml><?xml version="1.0" encoding="utf-8"?>
<formControlPr xmlns="http://schemas.microsoft.com/office/spreadsheetml/2009/9/main" objectType="Radio" lockText="1" noThreeD="1"/>
</file>

<file path=xl/ctrProps/ctrProp32.xml><?xml version="1.0" encoding="utf-8"?>
<formControlPr xmlns="http://schemas.microsoft.com/office/spreadsheetml/2009/9/main" objectType="Radio" lockText="1" noThreeD="1"/>
</file>

<file path=xl/ctrProps/ctrProp33.xml><?xml version="1.0" encoding="utf-8"?>
<formControlPr xmlns="http://schemas.microsoft.com/office/spreadsheetml/2009/9/main" objectType="Radio" lockText="1" noThreeD="1"/>
</file>

<file path=xl/ctrProps/ctrProp34.xml><?xml version="1.0" encoding="utf-8"?>
<formControlPr xmlns="http://schemas.microsoft.com/office/spreadsheetml/2009/9/main" objectType="Radio" lockText="1" noThreeD="1"/>
</file>

<file path=xl/ctrProps/ctrProp35.xml><?xml version="1.0" encoding="utf-8"?>
<formControlPr xmlns="http://schemas.microsoft.com/office/spreadsheetml/2009/9/main" objectType="Radio" lockText="1" noThreeD="1"/>
</file>

<file path=xl/ctrProps/ctrProp36.xml><?xml version="1.0" encoding="utf-8"?>
<formControlPr xmlns="http://schemas.microsoft.com/office/spreadsheetml/2009/9/main" objectType="Radio" lockText="1" noThreeD="1"/>
</file>

<file path=xl/ctrProps/ctrProp37.xml><?xml version="1.0" encoding="utf-8"?>
<formControlPr xmlns="http://schemas.microsoft.com/office/spreadsheetml/2009/9/main" objectType="Radio" checked="Checked" lockText="1" noThreeD="1"/>
</file>

<file path=xl/ctrProps/ctrProp38.xml><?xml version="1.0" encoding="utf-8"?>
<formControlPr xmlns="http://schemas.microsoft.com/office/spreadsheetml/2009/9/main" objectType="Radio" lockText="1" noThreeD="1"/>
</file>

<file path=xl/ctrProps/ctrProp39.xml><?xml version="1.0" encoding="utf-8"?>
<formControlPr xmlns="http://schemas.microsoft.com/office/spreadsheetml/2009/9/main" objectType="Radio" lockText="1" noThreeD="1"/>
</file>

<file path=xl/ctrProps/ctrProp40.xml><?xml version="1.0" encoding="utf-8"?>
<formControlPr xmlns="http://schemas.microsoft.com/office/spreadsheetml/2009/9/main" objectType="Radio" lockText="1" noThreeD="1"/>
</file>

<file path=xl/ctrProps/ctrProp41.xml><?xml version="1.0" encoding="utf-8"?>
<formControlPr xmlns="http://schemas.microsoft.com/office/spreadsheetml/2009/9/main" objectType="Radio" checked="Checked" lockText="1" noThreeD="1"/>
</file>

<file path=xl/ctrProps/ctrProp42.xml><?xml version="1.0" encoding="utf-8"?>
<formControlPr xmlns="http://schemas.microsoft.com/office/spreadsheetml/2009/9/main" objectType="Radio" lockText="1" noThreeD="1"/>
</file>

<file path=xl/ctrProps/ctrProp43.xml><?xml version="1.0" encoding="utf-8"?>
<formControlPr xmlns="http://schemas.microsoft.com/office/spreadsheetml/2009/9/main" objectType="Radio" lockText="1" noThreeD="1"/>
</file>

<file path=xl/ctrProps/ctrProp44.xml><?xml version="1.0" encoding="utf-8"?>
<formControlPr xmlns="http://schemas.microsoft.com/office/spreadsheetml/2009/9/main" objectType="Radio" lockText="1" noThreeD="1"/>
</file>

<file path=xl/ctrProps/ctrProp45.xml><?xml version="1.0" encoding="utf-8"?>
<formControlPr xmlns="http://schemas.microsoft.com/office/spreadsheetml/2009/9/main" objectType="Radio" lockText="1" noThreeD="1"/>
</file>

<file path=xl/ctrProps/ctrProp46.xml><?xml version="1.0" encoding="utf-8"?>
<formControlPr xmlns="http://schemas.microsoft.com/office/spreadsheetml/2009/9/main" objectType="Radio" checked="Checked" lockText="1" noThreeD="1"/>
</file>

<file path=xl/ctrProps/ctrProp47.xml><?xml version="1.0" encoding="utf-8"?>
<formControlPr xmlns="http://schemas.microsoft.com/office/spreadsheetml/2009/9/main" objectType="Radio" lockText="1" noThreeD="1"/>
</file>

<file path=xl/ctrProps/ctrProp48.xml><?xml version="1.0" encoding="utf-8"?>
<formControlPr xmlns="http://schemas.microsoft.com/office/spreadsheetml/2009/9/main" objectType="Radio" lockText="1" noThreeD="1"/>
</file>

<file path=xl/ctrProps/ctrProp49.xml><?xml version="1.0" encoding="utf-8"?>
<formControlPr xmlns="http://schemas.microsoft.com/office/spreadsheetml/2009/9/main" objectType="Radio" lockText="1" noThreeD="1"/>
</file>

<file path=xl/ctrProps/ctrProp50.xml><?xml version="1.0" encoding="utf-8"?>
<formControlPr xmlns="http://schemas.microsoft.com/office/spreadsheetml/2009/9/main" objectType="Radio" lockText="1" noThreeD="1"/>
</file>

<file path=xl/ctrProps/ctrProp51.xml><?xml version="1.0" encoding="utf-8"?>
<formControlPr xmlns="http://schemas.microsoft.com/office/spreadsheetml/2009/9/main" objectType="Radio" lockText="1" noThreeD="1"/>
</file>

<file path=xl/ctrProps/ctrProp52.xml><?xml version="1.0" encoding="utf-8"?>
<formControlPr xmlns="http://schemas.microsoft.com/office/spreadsheetml/2009/9/main" objectType="Radio" lockText="1" noThreeD="1"/>
</file>

<file path=xl/ctrProps/ctrProp53.xml><?xml version="1.0" encoding="utf-8"?>
<formControlPr xmlns="http://schemas.microsoft.com/office/spreadsheetml/2009/9/main" objectType="Radio" lockText="1" noThreeD="1"/>
</file>

<file path=xl/ctrProps/ctrProp54.xml><?xml version="1.0" encoding="utf-8"?>
<formControlPr xmlns="http://schemas.microsoft.com/office/spreadsheetml/2009/9/main" objectType="Radio" lockText="1" noThreeD="1"/>
</file>

<file path=xl/ctrProps/ctrProp55.xml><?xml version="1.0" encoding="utf-8"?>
<formControlPr xmlns="http://schemas.microsoft.com/office/spreadsheetml/2009/9/main" objectType="Radio" lockText="1" noThreeD="1"/>
</file>

<file path=xl/ctrProps/ctrProp56.xml><?xml version="1.0" encoding="utf-8"?>
<formControlPr xmlns="http://schemas.microsoft.com/office/spreadsheetml/2009/9/main" objectType="Radio" lockText="1" noThreeD="1"/>
</file>

<file path=xl/ctrProps/ctrProp57.xml><?xml version="1.0" encoding="utf-8"?>
<formControlPr xmlns="http://schemas.microsoft.com/office/spreadsheetml/2009/9/main" objectType="Radio" lockText="1" noThreeD="1"/>
</file>

<file path=xl/ctrProps/ctrProp58.xml><?xml version="1.0" encoding="utf-8"?>
<formControlPr xmlns="http://schemas.microsoft.com/office/spreadsheetml/2009/9/main" objectType="Radio" lockText="1" noThreeD="1"/>
</file>

<file path=xl/ctrProps/ctrProp59.xml><?xml version="1.0" encoding="utf-8"?>
<formControlPr xmlns="http://schemas.microsoft.com/office/spreadsheetml/2009/9/main" objectType="Radio" lockText="1" noThreeD="1"/>
</file>

<file path=xl/ctrProps/ctrProp60.xml><?xml version="1.0" encoding="utf-8"?>
<formControlPr xmlns="http://schemas.microsoft.com/office/spreadsheetml/2009/9/main" objectType="Radio" lockText="1" noThreeD="1"/>
</file>

<file path=xl/ctrProps/ctrProp61.xml><?xml version="1.0" encoding="utf-8"?>
<formControlPr xmlns="http://schemas.microsoft.com/office/spreadsheetml/2009/9/main" objectType="Radio" lockText="1" noThreeD="1"/>
</file>

<file path=xl/ctrProps/ctrProp62.xml><?xml version="1.0" encoding="utf-8"?>
<formControlPr xmlns="http://schemas.microsoft.com/office/spreadsheetml/2009/9/main" objectType="Radio" lockText="1" noThreeD="1"/>
</file>

<file path=xl/ctrProps/ctrProp63.xml><?xml version="1.0" encoding="utf-8"?>
<formControlPr xmlns="http://schemas.microsoft.com/office/spreadsheetml/2009/9/main" objectType="Radio" lockText="1" noThreeD="1"/>
</file>

<file path=xl/ctrProps/ctrProp64.xml><?xml version="1.0" encoding="utf-8"?>
<formControlPr xmlns="http://schemas.microsoft.com/office/spreadsheetml/2009/9/main" objectType="Radio" lockText="1" noThreeD="1"/>
</file>

<file path=xl/ctrProps/ctrProp65.xml><?xml version="1.0" encoding="utf-8"?>
<formControlPr xmlns="http://schemas.microsoft.com/office/spreadsheetml/2009/9/main" objectType="Radio" lockText="1" noThreeD="1"/>
</file>

<file path=xl/ctrProps/ctrProp66.xml><?xml version="1.0" encoding="utf-8"?>
<formControlPr xmlns="http://schemas.microsoft.com/office/spreadsheetml/2009/9/main" objectType="Radio" lockText="1" noThreeD="1"/>
</file>

<file path=xl/ctrProps/ctrProp67.xml><?xml version="1.0" encoding="utf-8"?>
<formControlPr xmlns="http://schemas.microsoft.com/office/spreadsheetml/2009/9/main" objectType="Radio" lockText="1" noThreeD="1"/>
</file>

<file path=xl/ctrProps/ctrProp68.xml><?xml version="1.0" encoding="utf-8"?>
<formControlPr xmlns="http://schemas.microsoft.com/office/spreadsheetml/2009/9/main" objectType="Radio" lockText="1" noThreeD="1"/>
</file>

<file path=xl/ctrProps/ctrProp69.xml><?xml version="1.0" encoding="utf-8"?>
<formControlPr xmlns="http://schemas.microsoft.com/office/spreadsheetml/2009/9/main" objectType="Radio" lockText="1" noThreeD="1"/>
</file>

<file path=xl/ctrProps/ctrProp70.xml><?xml version="1.0" encoding="utf-8"?>
<formControlPr xmlns="http://schemas.microsoft.com/office/spreadsheetml/2009/9/main" objectType="Radio" lockText="1" noThreeD="1"/>
</file>

<file path=xl/ctrProps/ctrProp71.xml><?xml version="1.0" encoding="utf-8"?>
<formControlPr xmlns="http://schemas.microsoft.com/office/spreadsheetml/2009/9/main" objectType="Radio" lockText="1" noThreeD="1"/>
</file>

<file path=xl/ctrProps/ctrProp72.xml><?xml version="1.0" encoding="utf-8"?>
<formControlPr xmlns="http://schemas.microsoft.com/office/spreadsheetml/2009/9/main" objectType="Radio" checked="Checked" lockText="1" noThreeD="1"/>
</file>

<file path=xl/ctrProps/ctrProp73.xml><?xml version="1.0" encoding="utf-8"?>
<formControlPr xmlns="http://schemas.microsoft.com/office/spreadsheetml/2009/9/main" objectType="Radio" lockText="1" noThreeD="1"/>
</file>

<file path=xl/ctrProps/ctrProp74.xml><?xml version="1.0" encoding="utf-8"?>
<formControlPr xmlns="http://schemas.microsoft.com/office/spreadsheetml/2009/9/main" objectType="Radio" lockText="1" noThreeD="1"/>
</file>

<file path=xl/ctrProps/ctrProp75.xml><?xml version="1.0" encoding="utf-8"?>
<formControlPr xmlns="http://schemas.microsoft.com/office/spreadsheetml/2009/9/main" objectType="Radio" lockText="1" noThreeD="1"/>
</file>

<file path=xl/ctrProps/ctrProp76.xml><?xml version="1.0" encoding="utf-8"?>
<formControlPr xmlns="http://schemas.microsoft.com/office/spreadsheetml/2009/9/main" objectType="Radio" lockText="1" noThreeD="1"/>
</file>

<file path=xl/ctrProps/ctrProp77.xml><?xml version="1.0" encoding="utf-8"?>
<formControlPr xmlns="http://schemas.microsoft.com/office/spreadsheetml/2009/9/main" objectType="Radio" lockText="1" noThreeD="1"/>
</file>

<file path=xl/ctrProps/ctrProp78.xml><?xml version="1.0" encoding="utf-8"?>
<formControlPr xmlns="http://schemas.microsoft.com/office/spreadsheetml/2009/9/main" objectType="Radio" lockText="1" noThreeD="1"/>
</file>

<file path=xl/ctrProps/ctrProp79.xml><?xml version="1.0" encoding="utf-8"?>
<formControlPr xmlns="http://schemas.microsoft.com/office/spreadsheetml/2009/9/main" objectType="Radio" checked="Checked" lockText="1" noThreeD="1"/>
</file>

<file path=xl/ctrProps/ctrProp80.xml><?xml version="1.0" encoding="utf-8"?>
<formControlPr xmlns="http://schemas.microsoft.com/office/spreadsheetml/2009/9/main" objectType="Radio" lockText="1" noThreeD="1"/>
</file>

<file path=xl/ctrProps/ctrProp81.xml><?xml version="1.0" encoding="utf-8"?>
<formControlPr xmlns="http://schemas.microsoft.com/office/spreadsheetml/2009/9/main" objectType="Radio" lockText="1" noThreeD="1"/>
</file>

<file path=xl/ctrProps/ctrProp82.xml><?xml version="1.0" encoding="utf-8"?>
<formControlPr xmlns="http://schemas.microsoft.com/office/spreadsheetml/2009/9/main" objectType="Radio" lockText="1" noThreeD="1"/>
</file>

<file path=xl/ctrProps/ctrProp83.xml><?xml version="1.0" encoding="utf-8"?>
<formControlPr xmlns="http://schemas.microsoft.com/office/spreadsheetml/2009/9/main" objectType="Radio" lockText="1" noThreeD="1"/>
</file>

<file path=xl/ctrProps/ctrProp84.xml><?xml version="1.0" encoding="utf-8"?>
<formControlPr xmlns="http://schemas.microsoft.com/office/spreadsheetml/2009/9/main" objectType="Radio" lockText="1" noThreeD="1"/>
</file>

<file path=xl/ctrProps/ctrProp85.xml><?xml version="1.0" encoding="utf-8"?>
<formControlPr xmlns="http://schemas.microsoft.com/office/spreadsheetml/2009/9/main" objectType="Radio" lockText="1" noThreeD="1"/>
</file>

<file path=xl/ctrProps/ctrProp86.xml><?xml version="1.0" encoding="utf-8"?>
<formControlPr xmlns="http://schemas.microsoft.com/office/spreadsheetml/2009/9/main" objectType="Radio" lockText="1" noThreeD="1"/>
</file>

<file path=xl/ctrProps/ctrProp87.xml><?xml version="1.0" encoding="utf-8"?>
<formControlPr xmlns="http://schemas.microsoft.com/office/spreadsheetml/2009/9/main" objectType="Radio" checked="Checked" lockText="1" noThreeD="1"/>
</file>

<file path=xl/ctrProps/ctrProp88.xml><?xml version="1.0" encoding="utf-8"?>
<formControlPr xmlns="http://schemas.microsoft.com/office/spreadsheetml/2009/9/main" objectType="Radio" lockText="1" noThreeD="1"/>
</file>

<file path=xl/ctrProps/ctrProp89.xml><?xml version="1.0" encoding="utf-8"?>
<formControlPr xmlns="http://schemas.microsoft.com/office/spreadsheetml/2009/9/main" objectType="Radio" lockText="1" noThreeD="1"/>
</file>

<file path=xl/ctrProps/ctrProp90.xml><?xml version="1.0" encoding="utf-8"?>
<formControlPr xmlns="http://schemas.microsoft.com/office/spreadsheetml/2009/9/main" objectType="Radio" checked="Checked" lockText="1" noThreeD="1"/>
</file>

<file path=xl/ctrProps/ctrProp91.xml><?xml version="1.0" encoding="utf-8"?>
<formControlPr xmlns="http://schemas.microsoft.com/office/spreadsheetml/2009/9/main" objectType="Radio" checked="Checked" lockText="1" noThreeD="1"/>
</file>

<file path=xl/ctrProps/ctrProp92.xml><?xml version="1.0" encoding="utf-8"?>
<formControlPr xmlns="http://schemas.microsoft.com/office/spreadsheetml/2009/9/main" objectType="Radio" lockText="1" noThreeD="1"/>
</file>

<file path=xl/ctrProps/ctrProp93.xml><?xml version="1.0" encoding="utf-8"?>
<formControlPr xmlns="http://schemas.microsoft.com/office/spreadsheetml/2009/9/main" objectType="Radio" lockText="1" noThreeD="1"/>
</file>

<file path=xl/ctrProps/ctrProp94.xml><?xml version="1.0" encoding="utf-8"?>
<formControlPr xmlns="http://schemas.microsoft.com/office/spreadsheetml/2009/9/main" objectType="Radio" lockText="1" noThreeD="1"/>
</file>

<file path=xl/ctrProps/ctrProp95.xml><?xml version="1.0" encoding="utf-8"?>
<formControlPr xmlns="http://schemas.microsoft.com/office/spreadsheetml/2009/9/main" objectType="Radio" lockText="1" noThreeD="1"/>
</file>

<file path=xl/ctrProps/ctrProp96.xml><?xml version="1.0" encoding="utf-8"?>
<formControlPr xmlns="http://schemas.microsoft.com/office/spreadsheetml/2009/9/main" objectType="Radio" lockText="1" noThreeD="1"/>
</file>

<file path=xl/ctrProps/ctrProp97.xml><?xml version="1.0" encoding="utf-8"?>
<formControlPr xmlns="http://schemas.microsoft.com/office/spreadsheetml/2009/9/main" objectType="Radio" lockText="1" noThreeD="1"/>
</file>

<file path=xl/ctrProps/ctrProp98.xml><?xml version="1.0" encoding="utf-8"?>
<formControlPr xmlns="http://schemas.microsoft.com/office/spreadsheetml/2009/9/main" objectType="Radio" lockText="1" noThreeD="1"/>
</file>

<file path=xl/ctrProps/ctrProp99.xml><?xml version="1.0" encoding="utf-8"?>
<formControlPr xmlns="http://schemas.microsoft.com/office/spreadsheetml/2009/9/main" objectType="Radio" lockText="1" noThreeD="1"/>
</file>

<file path=xl/ctrProps/ctrProp100.xml><?xml version="1.0" encoding="utf-8"?>
<formControlPr xmlns="http://schemas.microsoft.com/office/spreadsheetml/2009/9/main" objectType="Radio" lockText="1" noThreeD="1"/>
</file>

<file path=xl/ctrProps/ctrProp101.xml><?xml version="1.0" encoding="utf-8"?>
<formControlPr xmlns="http://schemas.microsoft.com/office/spreadsheetml/2009/9/main" objectType="Radio" lockText="1" noThreeD="1"/>
</file>

<file path=xl/ctrProps/ctrProp102.xml><?xml version="1.0" encoding="utf-8"?>
<formControlPr xmlns="http://schemas.microsoft.com/office/spreadsheetml/2009/9/main" objectType="Radio" lockText="1" noThreeD="1"/>
</file>

<file path=xl/ctrProps/ctrProp103.xml><?xml version="1.0" encoding="utf-8"?>
<formControlPr xmlns="http://schemas.microsoft.com/office/spreadsheetml/2009/9/main" objectType="Radio" lockText="1" noThreeD="1"/>
</file>

<file path=xl/ctrProps/ctrProp104.xml><?xml version="1.0" encoding="utf-8"?>
<formControlPr xmlns="http://schemas.microsoft.com/office/spreadsheetml/2009/9/main" objectType="Button" lockText="1"/>
</file>

<file path=xl/ctrProps/ctrProp105.xml><?xml version="1.0" encoding="utf-8"?>
<formControlPr xmlns="http://schemas.microsoft.com/office/spreadsheetml/2009/9/main" objectType="Button" lockText="1"/>
</file>

<file path=xl/ctrProps/ctrProp106.xml><?xml version="1.0" encoding="utf-8"?>
<formControlPr xmlns="http://schemas.microsoft.com/office/spreadsheetml/2009/9/main" objectType="Button" lockText="1"/>
</file>

<file path=xl/ctrProps/ctrProp107.xml><?xml version="1.0" encoding="utf-8"?>
<formControlPr xmlns="http://schemas.microsoft.com/office/spreadsheetml/2009/9/main" objectType="Button" lockText="1"/>
</file>

<file path=xl/ctrProps/ctrProp108.xml><?xml version="1.0" encoding="utf-8"?>
<formControlPr xmlns="http://schemas.microsoft.com/office/spreadsheetml/2009/9/main" objectType="Button" lockText="1"/>
</file>

<file path=xl/ctrProps/ctrProp109.xml><?xml version="1.0" encoding="utf-8"?>
<formControlPr xmlns="http://schemas.microsoft.com/office/spreadsheetml/2009/9/main" objectType="Button" lockText="1"/>
</file>

<file path=xl/ctrProps/ctrProp110.xml><?xml version="1.0" encoding="utf-8"?>
<formControlPr xmlns="http://schemas.microsoft.com/office/spreadsheetml/2009/9/main" objectType="Button" lockText="1"/>
</file>

<file path=xl/ctrProps/ctrProp111.xml><?xml version="1.0" encoding="utf-8"?>
<formControlPr xmlns="http://schemas.microsoft.com/office/spreadsheetml/2009/9/main" objectType="Button" lockText="1"/>
</file>

<file path=xl/ctrProps/ctrProp112.xml><?xml version="1.0" encoding="utf-8"?>
<formControlPr xmlns="http://schemas.microsoft.com/office/spreadsheetml/2009/9/main" objectType="Radio" checked="Checked" lockText="1" noThreeD="1"/>
</file>

<file path=xl/ctrProps/ctrProp113.xml><?xml version="1.0" encoding="utf-8"?>
<formControlPr xmlns="http://schemas.microsoft.com/office/spreadsheetml/2009/9/main" objectType="Radio" lockText="1" noThreeD="1"/>
</file>

<file path=xl/ctrProps/ctrProp114.xml><?xml version="1.0" encoding="utf-8"?>
<formControlPr xmlns="http://schemas.microsoft.com/office/spreadsheetml/2009/9/main" objectType="Radio" lockText="1" noThreeD="1"/>
</file>

<file path=xl/ctrProps/ctrProp115.xml><?xml version="1.0" encoding="utf-8"?>
<formControlPr xmlns="http://schemas.microsoft.com/office/spreadsheetml/2009/9/main" objectType="Radio" lockText="1" noThreeD="1"/>
</file>

<file path=xl/ctrProps/ctrProp116.xml><?xml version="1.0" encoding="utf-8"?>
<formControlPr xmlns="http://schemas.microsoft.com/office/spreadsheetml/2009/9/main" objectType="Radio" lockText="1" noThreeD="1"/>
</file>

<file path=xl/ctrProps/ctrProp117.xml><?xml version="1.0" encoding="utf-8"?>
<formControlPr xmlns="http://schemas.microsoft.com/office/spreadsheetml/2009/9/main" objectType="Radio" lockText="1" noThreeD="1"/>
</file>

<file path=xl/ctrProps/ctrProp118.xml><?xml version="1.0" encoding="utf-8"?>
<formControlPr xmlns="http://schemas.microsoft.com/office/spreadsheetml/2009/9/main" objectType="Button" lockText="1"/>
</file>

<file path=xl/ctrProps/ctr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eg" /><Relationship Id="rId2" Type="http://schemas.openxmlformats.org/officeDocument/2006/relationships/image" Target="../media/image1.png" 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eg" /><Relationship Id="rId2" Type="http://schemas.openxmlformats.org/officeDocument/2006/relationships/image" Target="../media/image1.png" 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jpeg" /></Relationships>
</file>

<file path=xl/drawings/_rels/drawing13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eg" /><Relationship Id="rId2" Type="http://schemas.openxmlformats.org/officeDocument/2006/relationships/image" Target="../media/image1.png" /></Relationships>
</file>

<file path=xl/drawings/_rels/drawing15.xml.rels><?xml version="1.0" encoding="UTF-8" standalone="yes"?><Relationships xmlns="http://schemas.openxmlformats.org/package/2006/relationships"><Relationship Id="rId1" Type="http://schemas.openxmlformats.org/officeDocument/2006/relationships/image" Target="../media/image2.jpe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0</xdr:col>
      <xdr:colOff>66675</xdr:colOff>
      <xdr:row>0</xdr:row>
      <xdr:rowOff>85725</xdr:rowOff>
    </xdr:from>
    <xdr:ext cx="1409700" cy="3524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rrowheads="1" noChangeAspect="1"/>
        </xdr:cNvPicPr>
      </xdr:nvPicPr>
      <xdr:blipFill>
        <a:blip r:embed="rId1"/>
        <a:stretch>
          <a:fillRect/>
        </a:stretch>
      </xdr:blipFill>
      <xdr:spPr bwMode="auto">
        <a:xfrm>
          <a:off x="66675" y="85725"/>
          <a:ext cx="1409700" cy="352425"/>
        </a:xfrm>
        <a:prstGeom prst="rect"/>
        <a:noFill/>
        <a:ln w="9525">
          <a:noFill/>
          <a:miter lim="800000"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6200775" y="9525"/>
          <a:ext cx="1295400" cy="657225"/>
        </a:xfrm>
        <a:prstGeom prst="rect"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0</xdr:col>
      <xdr:colOff>0</xdr:colOff>
      <xdr:row>0</xdr:row>
      <xdr:rowOff>76200</xdr:rowOff>
    </xdr:from>
    <xdr:ext cx="1409700" cy="352425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rrowheads="1" noChangeAspect="1"/>
        </xdr:cNvPicPr>
      </xdr:nvPicPr>
      <xdr:blipFill>
        <a:blip r:embed="rId1"/>
        <a:stretch>
          <a:fillRect/>
        </a:stretch>
      </xdr:blipFill>
      <xdr:spPr bwMode="auto">
        <a:xfrm>
          <a:off x="0" y="76200"/>
          <a:ext cx="1409700" cy="352425"/>
        </a:xfrm>
        <a:prstGeom prst="rect"/>
        <a:noFill/>
        <a:ln w="9525">
          <a:noFill/>
          <a:miter lim="800000"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6524625" y="47625"/>
          <a:ext cx="1285875" cy="657225"/>
        </a:xfrm>
        <a:prstGeom prst="rect"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[0]!limpiarunidadespresu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>
              <a:spLocks noRot="1"/>
            </xdr:cNvSpPr>
          </xdr:nvSpPr>
          <xdr:spPr>
            <a:xfrm>
              <a:off x="8382000" y="3124200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[0]!limpiarBombas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>
              <a:spLocks noRot="1"/>
            </xdr:cNvSpPr>
          </xdr:nvSpPr>
          <xdr:spPr>
            <a:xfrm>
              <a:off x="8382000" y="3286125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[0]!LimpiarPulsadoPresu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>
              <a:spLocks noRot="1"/>
            </xdr:cNvSpPr>
          </xdr:nvSpPr>
          <xdr:spPr>
            <a:xfrm>
              <a:off x="8382000" y="3476625"/>
              <a:ext cx="1381125" cy="2286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19050"/>
          <a:ext cx="7953375" cy="3905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[0]!limpiarplacapresu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>
              <a:spLocks noRot="1"/>
            </xdr:cNvSpPr>
          </xdr:nvSpPr>
          <xdr:spPr>
            <a:xfrm>
              <a:off x="8382000" y="3743325"/>
              <a:ext cx="1381125" cy="2286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[0]!limpiarUFpresu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>
              <a:spLocks noRot="1"/>
            </xdr:cNvSpPr>
          </xdr:nvSpPr>
          <xdr:spPr>
            <a:xfrm>
              <a:off x="8382000" y="3943350"/>
              <a:ext cx="1381125" cy="2286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[0]!limpiarextrapresu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>
              <a:spLocks noRot="1"/>
            </xdr:cNvSpPr>
          </xdr:nvSpPr>
          <xdr:spPr>
            <a:xfrm>
              <a:off x="8391525" y="4210050"/>
              <a:ext cx="1381125" cy="2190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[0]!limpiarisopresu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>
              <a:spLocks noRot="1"/>
            </xdr:cNvSpPr>
          </xdr:nvSpPr>
          <xdr:spPr>
            <a:xfrm>
              <a:off x="8382000" y="4448175"/>
              <a:ext cx="1381125" cy="2286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1</xdr:col>
          <xdr:colOff>0</xdr:colOff>
          <xdr:row>11</xdr:row>
          <xdr:rowOff>47625</xdr:rowOff>
        </xdr:to>
        <xdr:sp macro="[0]!compactar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>
              <a:spLocks noRot="1"/>
            </xdr:cNvSpPr>
          </xdr:nvSpPr>
          <xdr:spPr>
            <a:xfrm>
              <a:off x="66675" y="1933575"/>
              <a:ext cx="838200" cy="20955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1</xdr:col>
          <xdr:colOff>0</xdr:colOff>
          <xdr:row>12</xdr:row>
          <xdr:rowOff>161925</xdr:rowOff>
        </xdr:to>
        <xdr:sp macro="[0]!descompactar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>
              <a:spLocks noRot="1"/>
            </xdr:cNvSpPr>
          </xdr:nvSpPr>
          <xdr:spPr>
            <a:xfrm>
              <a:off x="76200" y="2200275"/>
              <a:ext cx="828675" cy="24765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>
                <a:defRPr sz="1000"/>
              </a:pPr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[0]!packinglist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>
              <a:spLocks noRot="1"/>
            </xdr:cNvSpPr>
          </xdr:nvSpPr>
          <xdr:spPr>
            <a:xfrm>
              <a:off x="7038975" y="1905000"/>
              <a:ext cx="714375" cy="180975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[0]!presupuesto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>
              <a:spLocks noRot="1"/>
            </xdr:cNvSpPr>
          </xdr:nvSpPr>
          <xdr:spPr>
            <a:xfrm>
              <a:off x="7038975" y="2219325"/>
              <a:ext cx="695325" cy="26670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[0]!limpiarRobotpresu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>
              <a:spLocks noRot="1"/>
            </xdr:cNvSpPr>
          </xdr:nvSpPr>
          <xdr:spPr>
            <a:xfrm>
              <a:off x="8401050" y="6591300"/>
              <a:ext cx="1381125" cy="2286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[0]!limpiarcaneria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>
              <a:spLocks noRot="1"/>
            </xdr:cNvSpPr>
          </xdr:nvSpPr>
          <xdr:spPr>
            <a:xfrm>
              <a:off x="8401050" y="6924675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[0]!Macro2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>
              <a:spLocks noRot="1"/>
            </xdr:cNvSpPr>
          </xdr:nvSpPr>
          <xdr:spPr>
            <a:xfrm>
              <a:off x="7762875" y="8001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[0]!limpiar1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>
              <a:spLocks noRot="1"/>
            </xdr:cNvSpPr>
          </xdr:nvSpPr>
          <xdr:spPr>
            <a:xfrm>
              <a:off x="7762875" y="13811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[0]!Macro3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>
              <a:spLocks noRot="1"/>
            </xdr:cNvSpPr>
          </xdr:nvSpPr>
          <xdr:spPr>
            <a:xfrm>
              <a:off x="7762875" y="299085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[0]!Macro4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>
              <a:spLocks noRot="1"/>
            </xdr:cNvSpPr>
          </xdr:nvSpPr>
          <xdr:spPr>
            <a:xfrm>
              <a:off x="7762875" y="58007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[0]!limpiar2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>
              <a:spLocks noRot="1"/>
            </xdr:cNvSpPr>
          </xdr:nvSpPr>
          <xdr:spPr>
            <a:xfrm>
              <a:off x="7781925" y="36576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[0]!limpiar3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>
              <a:spLocks noRot="1"/>
            </xdr:cNvSpPr>
          </xdr:nvSpPr>
          <xdr:spPr>
            <a:xfrm>
              <a:off x="7734300" y="63341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[0]!llevarunidadespresu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>
              <a:spLocks noRot="1"/>
            </xdr:cNvSpPr>
          </xdr:nvSpPr>
          <xdr:spPr>
            <a:xfrm>
              <a:off x="10086975" y="342900"/>
              <a:ext cx="138112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[0]!bomba1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1906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[0]!limpiabomba1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77165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[0]!bomba2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>
              <a:spLocks noRot="1"/>
            </xdr:cNvSpPr>
          </xdr:nvSpPr>
          <xdr:spPr>
            <a:xfrm>
              <a:off x="7153275" y="348615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[0]!limpiabomba2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>
              <a:spLocks noRot="1"/>
            </xdr:cNvSpPr>
          </xdr:nvSpPr>
          <xdr:spPr>
            <a:xfrm>
              <a:off x="7153275" y="406717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[0]!bomba3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>
              <a:spLocks noRot="1"/>
            </xdr:cNvSpPr>
          </xdr:nvSpPr>
          <xdr:spPr>
            <a:xfrm>
              <a:off x="7153275" y="559117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[0]!limpiabomba3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>
              <a:spLocks noRot="1"/>
            </xdr:cNvSpPr>
          </xdr:nvSpPr>
          <xdr:spPr>
            <a:xfrm>
              <a:off x="7153275" y="61722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[0]!moverbombas4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>
              <a:spLocks noRot="1"/>
            </xdr:cNvSpPr>
          </xdr:nvSpPr>
          <xdr:spPr>
            <a:xfrm>
              <a:off x="7153275" y="78867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[0]!limpiabomba4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>
              <a:spLocks noRot="1"/>
            </xdr:cNvSpPr>
          </xdr:nvSpPr>
          <xdr:spPr>
            <a:xfrm>
              <a:off x="7153275" y="84677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[0]!bomba5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>
              <a:spLocks noRot="1"/>
            </xdr:cNvSpPr>
          </xdr:nvSpPr>
          <xdr:spPr>
            <a:xfrm>
              <a:off x="7153275" y="90392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[0]!limpiabomba5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>
              <a:spLocks noRot="1"/>
            </xdr:cNvSpPr>
          </xdr:nvSpPr>
          <xdr:spPr>
            <a:xfrm>
              <a:off x="7153275" y="962025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[0]!bomba6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019175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[0]!limpiabomba6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077277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[0]!bomba7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153477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[0]!limpiabomba7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21158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[0]!bomba8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40208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[0]!limpiabomba8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46018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[0]!moverbombasapresu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>
              <a:spLocks noRot="1"/>
            </xdr:cNvSpPr>
          </xdr:nvSpPr>
          <xdr:spPr>
            <a:xfrm>
              <a:off x="9477375" y="342900"/>
              <a:ext cx="138112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[0]!copiarm3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70783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[0]!limpiarm3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>
              <a:spLocks noRot="1"/>
            </xdr:cNvSpPr>
          </xdr:nvSpPr>
          <xdr:spPr>
            <a:xfrm>
              <a:off x="7153275" y="1784985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10</xdr:col>
          <xdr:colOff>0</xdr:colOff>
          <xdr:row>6</xdr:row>
          <xdr:rowOff>152400</xdr:rowOff>
        </xdr:to>
        <xdr:sp macro="[0]!COPIARPULSADO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>
              <a:spLocks noRot="1"/>
            </xdr:cNvSpPr>
          </xdr:nvSpPr>
          <xdr:spPr>
            <a:xfrm>
              <a:off x="7581900" y="108585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[0]!LIMPIARPULSADO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>
              <a:spLocks noRot="1"/>
            </xdr:cNvSpPr>
          </xdr:nvSpPr>
          <xdr:spPr>
            <a:xfrm>
              <a:off x="7600950" y="1476375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10</xdr:col>
          <xdr:colOff>0</xdr:colOff>
          <xdr:row>15</xdr:row>
          <xdr:rowOff>66675</xdr:rowOff>
        </xdr:to>
        <xdr:sp macro="[0]!LIMPIARFILTRADO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>
              <a:spLocks noRot="1"/>
            </xdr:cNvSpPr>
          </xdr:nvSpPr>
          <xdr:spPr>
            <a:xfrm>
              <a:off x="7572375" y="27146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[0]!COPIARFILTRADO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>
              <a:spLocks noRot="1"/>
            </xdr:cNvSpPr>
          </xdr:nvSpPr>
          <xdr:spPr>
            <a:xfrm>
              <a:off x="7534275" y="223837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[0]!llevarpulsado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>
              <a:spLocks noRot="1"/>
            </xdr:cNvSpPr>
          </xdr:nvSpPr>
          <xdr:spPr>
            <a:xfrm>
              <a:off x="9896475" y="800100"/>
              <a:ext cx="138112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13</xdr:col>
          <xdr:colOff>0</xdr:colOff>
          <xdr:row>4</xdr:row>
          <xdr:rowOff>104775</xdr:rowOff>
        </xdr:to>
        <xdr:sp macro="[0]!llevaralpresuplaca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>
              <a:spLocks noRot="1"/>
            </xdr:cNvSpPr>
          </xdr:nvSpPr>
          <xdr:spPr>
            <a:xfrm>
              <a:off x="10220325" y="657225"/>
              <a:ext cx="13525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13</xdr:col>
          <xdr:colOff>0</xdr:colOff>
          <xdr:row>4</xdr:row>
          <xdr:rowOff>104775</xdr:rowOff>
        </xdr:to>
        <xdr:sp macro="[0]!llevaralpresuplaca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>
              <a:spLocks noRot="1"/>
            </xdr:cNvSpPr>
          </xdr:nvSpPr>
          <xdr:spPr>
            <a:xfrm>
              <a:off x="10210800" y="676275"/>
              <a:ext cx="1362075" cy="2762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[0]!LimpiarPlaca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>
              <a:spLocks noRot="1"/>
            </xdr:cNvSpPr>
          </xdr:nvSpPr>
          <xdr:spPr>
            <a:xfrm>
              <a:off x="8096250" y="514350"/>
              <a:ext cx="1285875" cy="3333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[0]!UF85mover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>
              <a:spLocks noRot="1"/>
            </xdr:cNvSpPr>
          </xdr:nvSpPr>
          <xdr:spPr>
            <a:xfrm>
              <a:off x="8124825" y="990600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[0]!UF85limpiar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>
              <a:spLocks noRot="1"/>
            </xdr:cNvSpPr>
          </xdr:nvSpPr>
          <xdr:spPr>
            <a:xfrm>
              <a:off x="8124825" y="1581150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[0]!UF55mover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>
              <a:spLocks noRot="1"/>
            </xdr:cNvSpPr>
          </xdr:nvSpPr>
          <xdr:spPr>
            <a:xfrm>
              <a:off x="8153400" y="4638675"/>
              <a:ext cx="1285875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[0]!UF55limpiar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>
              <a:spLocks noRot="1"/>
            </xdr:cNvSpPr>
          </xdr:nvSpPr>
          <xdr:spPr>
            <a:xfrm>
              <a:off x="8153400" y="5229225"/>
              <a:ext cx="128587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[0]!UF100mover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>
              <a:spLocks noRot="1"/>
            </xdr:cNvSpPr>
          </xdr:nvSpPr>
          <xdr:spPr>
            <a:xfrm>
              <a:off x="8153400" y="6076950"/>
              <a:ext cx="12858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[0]!UF100limpiar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>
              <a:spLocks noRot="1"/>
            </xdr:cNvSpPr>
          </xdr:nvSpPr>
          <xdr:spPr>
            <a:xfrm>
              <a:off x="8153400" y="6657975"/>
              <a:ext cx="128587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[0]!BM1HPmover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>
              <a:spLocks noRot="1"/>
            </xdr:cNvSpPr>
          </xdr:nvSpPr>
          <xdr:spPr>
            <a:xfrm>
              <a:off x="8115300" y="7705725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[0]!BM1hplimpiar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>
              <a:spLocks noRot="1"/>
            </xdr:cNvSpPr>
          </xdr:nvSpPr>
          <xdr:spPr>
            <a:xfrm>
              <a:off x="8115300" y="8296275"/>
              <a:ext cx="129540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[0]!BT1hpmover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>
              <a:spLocks noRot="1"/>
            </xdr:cNvSpPr>
          </xdr:nvSpPr>
          <xdr:spPr>
            <a:xfrm>
              <a:off x="8115300" y="9639300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[0]!BT1hplimpiar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0239375"/>
              <a:ext cx="1295400" cy="2762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[0]!BT2HPmover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1172825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[0]!BT2HPlimpiar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1763375"/>
              <a:ext cx="129540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[0]!BTGM05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2906375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[0]!BTGM05limpiar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3173075"/>
              <a:ext cx="128587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[0]!BTGM1mover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4258925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[0]!BTGM1limpiar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>
              <a:spLocks noRot="1"/>
            </xdr:cNvSpPr>
          </xdr:nvSpPr>
          <xdr:spPr>
            <a:xfrm>
              <a:off x="8086725" y="14582775"/>
              <a:ext cx="1295400" cy="2762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[0]!CF3mover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>
              <a:spLocks noRot="1"/>
            </xdr:cNvSpPr>
          </xdr:nvSpPr>
          <xdr:spPr>
            <a:xfrm>
              <a:off x="8096250" y="15373350"/>
              <a:ext cx="128587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[0]!CF3limpiar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5697200"/>
              <a:ext cx="128587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[0]!T3mover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7354550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[0]!T3limpiar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>
              <a:spLocks noRot="1"/>
            </xdr:cNvSpPr>
          </xdr:nvSpPr>
          <xdr:spPr>
            <a:xfrm>
              <a:off x="8115300" y="17640300"/>
              <a:ext cx="129540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[0]!T4mover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>
              <a:spLocks noRot="1"/>
            </xdr:cNvSpPr>
          </xdr:nvSpPr>
          <xdr:spPr>
            <a:xfrm>
              <a:off x="8105775" y="18145125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[0]!T4limpiar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>
              <a:spLocks noRot="1"/>
            </xdr:cNvSpPr>
          </xdr:nvSpPr>
          <xdr:spPr>
            <a:xfrm>
              <a:off x="8096250" y="18411825"/>
              <a:ext cx="128587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10</xdr:col>
          <xdr:colOff>0</xdr:colOff>
          <xdr:row>85</xdr:row>
          <xdr:rowOff>19050</xdr:rowOff>
        </xdr:to>
        <xdr:sp macro="[0]!CF4mover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>
              <a:spLocks noRot="1"/>
            </xdr:cNvSpPr>
          </xdr:nvSpPr>
          <xdr:spPr>
            <a:xfrm>
              <a:off x="8058150" y="16316325"/>
              <a:ext cx="1314450" cy="1524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10</xdr:col>
          <xdr:colOff>0</xdr:colOff>
          <xdr:row>86</xdr:row>
          <xdr:rowOff>161925</xdr:rowOff>
        </xdr:to>
        <xdr:sp macro="[0]!CF4limpiar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>
              <a:spLocks noRot="1"/>
            </xdr:cNvSpPr>
          </xdr:nvSpPr>
          <xdr:spPr>
            <a:xfrm>
              <a:off x="8048625" y="16668750"/>
              <a:ext cx="1323975" cy="1428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[0]!llevarUFpresu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>
              <a:spLocks noRot="1"/>
            </xdr:cNvSpPr>
          </xdr:nvSpPr>
          <xdr:spPr>
            <a:xfrm>
              <a:off x="9925050" y="342900"/>
              <a:ext cx="135255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[0]!moverxp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>
              <a:spLocks noRot="1"/>
            </xdr:cNvSpPr>
          </xdr:nvSpPr>
          <xdr:spPr>
            <a:xfrm>
              <a:off x="9305925" y="1181100"/>
              <a:ext cx="131445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[0]!limpiarxp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>
              <a:spLocks noRot="1"/>
            </xdr:cNvSpPr>
          </xdr:nvSpPr>
          <xdr:spPr>
            <a:xfrm>
              <a:off x="9305925" y="1771650"/>
              <a:ext cx="131445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[0]!moverami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>
              <a:spLocks noRot="1"/>
            </xdr:cNvSpPr>
          </xdr:nvSpPr>
          <xdr:spPr>
            <a:xfrm>
              <a:off x="9305925" y="310515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[0]!limpiarami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>
              <a:spLocks noRot="1"/>
            </xdr:cNvSpPr>
          </xdr:nvSpPr>
          <xdr:spPr>
            <a:xfrm>
              <a:off x="9305925" y="3686175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[0]!moverbrazo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>
              <a:spLocks noRot="1"/>
            </xdr:cNvSpPr>
          </xdr:nvSpPr>
          <xdr:spPr>
            <a:xfrm>
              <a:off x="9305925" y="7305675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[0]!limpiarbrazo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>
              <a:spLocks noRot="1"/>
            </xdr:cNvSpPr>
          </xdr:nvSpPr>
          <xdr:spPr>
            <a:xfrm>
              <a:off x="9305925" y="788670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[0]!llevarextrapresu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>
              <a:spLocks noRot="1"/>
            </xdr:cNvSpPr>
          </xdr:nvSpPr>
          <xdr:spPr>
            <a:xfrm>
              <a:off x="10820400" y="609600"/>
              <a:ext cx="13525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8</xdr:col>
          <xdr:colOff>0</xdr:colOff>
          <xdr:row>4</xdr:row>
          <xdr:rowOff>47625</xdr:rowOff>
        </xdr:to>
        <xdr:sp macro="[0]!limpiarextra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>
              <a:spLocks noRot="1"/>
            </xdr:cNvSpPr>
          </xdr:nvSpPr>
          <xdr:spPr>
            <a:xfrm>
              <a:off x="7810500" y="581025"/>
              <a:ext cx="13335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[0]!moveriso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>
              <a:spLocks noRot="1"/>
            </xdr:cNvSpPr>
          </xdr:nvSpPr>
          <xdr:spPr>
            <a:xfrm>
              <a:off x="7096125" y="3686175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[0]!limpiariso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>
              <a:spLocks noRot="1"/>
            </xdr:cNvSpPr>
          </xdr:nvSpPr>
          <xdr:spPr>
            <a:xfrm>
              <a:off x="7096125" y="426720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[0]!moversingle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>
              <a:spLocks noRot="1"/>
            </xdr:cNvSpPr>
          </xdr:nvSpPr>
          <xdr:spPr>
            <a:xfrm>
              <a:off x="7096125" y="6181725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[0]!limpiarsingle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>
              <a:spLocks noRot="1"/>
            </xdr:cNvSpPr>
          </xdr:nvSpPr>
          <xdr:spPr>
            <a:xfrm>
              <a:off x="7096125" y="676275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[0]!moverdual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>
              <a:spLocks noRot="1"/>
            </xdr:cNvSpPr>
          </xdr:nvSpPr>
          <xdr:spPr>
            <a:xfrm>
              <a:off x="7096125" y="9058275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[0]!limpiardual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>
              <a:spLocks noRot="1"/>
            </xdr:cNvSpPr>
          </xdr:nvSpPr>
          <xdr:spPr>
            <a:xfrm>
              <a:off x="7096125" y="963930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[0]!llevarisopresu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>
              <a:spLocks noRot="1"/>
            </xdr:cNvSpPr>
          </xdr:nvSpPr>
          <xdr:spPr>
            <a:xfrm>
              <a:off x="8543925" y="628650"/>
              <a:ext cx="13906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[0]!limpiartodoiso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>
              <a:spLocks noRot="1"/>
            </xdr:cNvSpPr>
          </xdr:nvSpPr>
          <xdr:spPr>
            <a:xfrm>
              <a:off x="6915150" y="647700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[0]!limpiarsdcontrol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>
              <a:spLocks noRot="1"/>
            </xdr:cNvSpPr>
          </xdr:nvSpPr>
          <xdr:spPr>
            <a:xfrm>
              <a:off x="7172325" y="1543050"/>
              <a:ext cx="131445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[0]!llevarrobotpresu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>
              <a:spLocks noRot="1"/>
            </xdr:cNvSpPr>
          </xdr:nvSpPr>
          <xdr:spPr>
            <a:xfrm>
              <a:off x="10058400" y="657225"/>
              <a:ext cx="138112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[0]!llevarcañeriapresu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>
              <a:spLocks noRot="1"/>
            </xdr:cNvSpPr>
          </xdr:nvSpPr>
          <xdr:spPr>
            <a:xfrm>
              <a:off x="10610850" y="342900"/>
              <a:ext cx="135255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[0]!soportemover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>
              <a:spLocks noRot="1"/>
            </xdr:cNvSpPr>
          </xdr:nvSpPr>
          <xdr:spPr>
            <a:xfrm>
              <a:off x="8667750" y="838200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[0]!soportelimpiar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>
              <a:spLocks noRot="1"/>
            </xdr:cNvSpPr>
          </xdr:nvSpPr>
          <xdr:spPr>
            <a:xfrm>
              <a:off x="8667750" y="1419225"/>
              <a:ext cx="132397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[0]!lineadelechemover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>
              <a:spLocks noRot="1"/>
            </xdr:cNvSpPr>
          </xdr:nvSpPr>
          <xdr:spPr>
            <a:xfrm>
              <a:off x="8648700" y="2200275"/>
              <a:ext cx="131445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[0]!tuberiadelechelimpiar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>
              <a:spLocks noRot="1"/>
            </xdr:cNvSpPr>
          </xdr:nvSpPr>
          <xdr:spPr>
            <a:xfrm>
              <a:off x="8648700" y="2781300"/>
              <a:ext cx="131445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10</xdr:col>
          <xdr:colOff>0</xdr:colOff>
          <xdr:row>21</xdr:row>
          <xdr:rowOff>57150</xdr:rowOff>
        </xdr:to>
        <xdr:sp macro="[0]!transferenciamover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>
              <a:spLocks noRot="1"/>
            </xdr:cNvSpPr>
          </xdr:nvSpPr>
          <xdr:spPr>
            <a:xfrm>
              <a:off x="8763000" y="3876675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10</xdr:col>
          <xdr:colOff>0</xdr:colOff>
          <xdr:row>24</xdr:row>
          <xdr:rowOff>66675</xdr:rowOff>
        </xdr:to>
        <xdr:sp macro="[0]!transferenciadelechelimpiar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>
              <a:spLocks noRot="1"/>
            </xdr:cNvSpPr>
          </xdr:nvSpPr>
          <xdr:spPr>
            <a:xfrm>
              <a:off x="8763000" y="4467225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10</xdr:col>
          <xdr:colOff>0</xdr:colOff>
          <xdr:row>29</xdr:row>
          <xdr:rowOff>171450</xdr:rowOff>
        </xdr:to>
        <xdr:sp macro="[0]!tuberiadelavadomover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>
              <a:spLocks noRot="1"/>
            </xdr:cNvSpPr>
          </xdr:nvSpPr>
          <xdr:spPr>
            <a:xfrm>
              <a:off x="8753475" y="5543550"/>
              <a:ext cx="1304925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10</xdr:col>
          <xdr:colOff>0</xdr:colOff>
          <xdr:row>32</xdr:row>
          <xdr:rowOff>180975</xdr:rowOff>
        </xdr:to>
        <xdr:sp macro="[0]!tuberiadelavadolimpiar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>
              <a:spLocks noRot="1"/>
            </xdr:cNvSpPr>
          </xdr:nvSpPr>
          <xdr:spPr>
            <a:xfrm>
              <a:off x="8753475" y="6134100"/>
              <a:ext cx="1304925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10</xdr:col>
          <xdr:colOff>0</xdr:colOff>
          <xdr:row>38</xdr:row>
          <xdr:rowOff>76200</xdr:rowOff>
        </xdr:to>
        <xdr:sp macro="[0]!basicotuberiadevaciomover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>
              <a:spLocks noRot="1"/>
            </xdr:cNvSpPr>
          </xdr:nvSpPr>
          <xdr:spPr>
            <a:xfrm>
              <a:off x="8763000" y="7181850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10</xdr:col>
          <xdr:colOff>0</xdr:colOff>
          <xdr:row>40</xdr:row>
          <xdr:rowOff>123825</xdr:rowOff>
        </xdr:to>
        <xdr:sp macro="[0]!basicolimpiar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>
              <a:spLocks noRot="1"/>
            </xdr:cNvSpPr>
          </xdr:nvSpPr>
          <xdr:spPr>
            <a:xfrm>
              <a:off x="8763000" y="7620000"/>
              <a:ext cx="1295400" cy="28575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10</xdr:col>
          <xdr:colOff>0</xdr:colOff>
          <xdr:row>46</xdr:row>
          <xdr:rowOff>57150</xdr:rowOff>
        </xdr:to>
        <xdr:sp macro="[0]!tuberiadevaciomover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>
              <a:spLocks noRot="1"/>
            </xdr:cNvSpPr>
          </xdr:nvSpPr>
          <xdr:spPr>
            <a:xfrm>
              <a:off x="8763000" y="8696325"/>
              <a:ext cx="1295400" cy="3048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10</xdr:col>
          <xdr:colOff>0</xdr:colOff>
          <xdr:row>49</xdr:row>
          <xdr:rowOff>66675</xdr:rowOff>
        </xdr:to>
        <xdr:sp macro="[0]!tuberiadevaciolimpiar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>
              <a:spLocks noRot="1"/>
            </xdr:cNvSpPr>
          </xdr:nvSpPr>
          <xdr:spPr>
            <a:xfrm>
              <a:off x="8763000" y="9286875"/>
              <a:ext cx="1295400" cy="29527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[0]!buscarxcodigo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>
              <a:spLocks noRot="1"/>
            </xdr:cNvSpPr>
          </xdr:nvSpPr>
          <xdr:spPr>
            <a:xfrm>
              <a:off x="6943725" y="85725"/>
              <a:ext cx="1276350" cy="19050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[0]!buscarxdescri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>
              <a:spLocks noRot="1"/>
            </xdr:cNvSpPr>
          </xdr:nvSpPr>
          <xdr:spPr>
            <a:xfrm>
              <a:off x="8258175" y="76200"/>
              <a:ext cx="2190750" cy="180975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[0]!limpiarbusqueda1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>
              <a:spLocks noRot="1"/>
            </xdr:cNvSpPr>
          </xdr:nvSpPr>
          <xdr:spPr>
            <a:xfrm>
              <a:off x="10801350" y="85725"/>
              <a:ext cx="1057275" cy="40005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38100</xdr:colOff>
      <xdr:row>0</xdr:row>
      <xdr:rowOff>28575</xdr:rowOff>
    </xdr:from>
    <xdr:ext cx="1409700" cy="35242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rrowheads="1" noChangeAspect="1"/>
        </xdr:cNvPicPr>
      </xdr:nvPicPr>
      <xdr:blipFill>
        <a:blip r:embed="rId1"/>
        <a:stretch>
          <a:fillRect/>
        </a:stretch>
      </xdr:blipFill>
      <xdr:spPr bwMode="auto">
        <a:xfrm>
          <a:off x="400050" y="28575"/>
          <a:ext cx="1409700" cy="352425"/>
        </a:xfrm>
        <a:prstGeom prst="rect"/>
        <a:noFill/>
        <a:ln w="9525">
          <a:noFill/>
          <a:miter lim="800000"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448175" y="0"/>
          <a:ext cx="1304925" cy="6572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[0]!buscarxcodigo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>
              <a:spLocks noRot="1"/>
            </xdr:cNvSpPr>
          </xdr:nvSpPr>
          <xdr:spPr>
            <a:xfrm>
              <a:off x="6943725" y="85725"/>
              <a:ext cx="1276350" cy="19050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[0]!buscarxdescri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>
              <a:spLocks noRot="1"/>
            </xdr:cNvSpPr>
          </xdr:nvSpPr>
          <xdr:spPr>
            <a:xfrm>
              <a:off x="8258175" y="76200"/>
              <a:ext cx="2190750" cy="180975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[0]!buscarxcodigo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>
              <a:spLocks noRot="1"/>
            </xdr:cNvSpPr>
          </xdr:nvSpPr>
          <xdr:spPr>
            <a:xfrm>
              <a:off x="6943725" y="85725"/>
              <a:ext cx="1276350" cy="19050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[0]!asignaraformulario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>
              <a:spLocks noRot="1"/>
            </xdr:cNvSpPr>
          </xdr:nvSpPr>
          <xdr:spPr>
            <a:xfrm>
              <a:off x="5886450" y="200025"/>
              <a:ext cx="981075" cy="409575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>
                <a:defRPr sz="1000"/>
              </a:pPr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defRPr>
              </a:pPr>
              <a:endParaRPr lang="en-US" sz="1100" u="none" b="0" i="0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[0]!limpiarpackinglist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>
              <a:spLocks noRot="1"/>
            </xdr:cNvSpPr>
          </xdr:nvSpPr>
          <xdr:spPr>
            <a:xfrm>
              <a:off x="5610225" y="95250"/>
              <a:ext cx="342900" cy="24765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[0]!limpiarBombas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>
              <a:spLocks noRot="1"/>
            </xdr:cNvSpPr>
          </xdr:nvSpPr>
          <xdr:spPr>
            <a:xfrm>
              <a:off x="8324850" y="4514850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[0]!LimpiarPulsadoPresu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>
              <a:spLocks noRot="1"/>
            </xdr:cNvSpPr>
          </xdr:nvSpPr>
          <xdr:spPr>
            <a:xfrm>
              <a:off x="8324850" y="23069550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0" y="19050"/>
          <a:ext cx="7943850" cy="390525"/>
        </a:xfrm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[0]!limpiarplacapresu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>
              <a:spLocks noRot="1"/>
            </xdr:cNvSpPr>
          </xdr:nvSpPr>
          <xdr:spPr>
            <a:xfrm>
              <a:off x="8324850" y="24860250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[0]!limpiarUFpresu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>
              <a:spLocks noRot="1"/>
            </xdr:cNvSpPr>
          </xdr:nvSpPr>
          <xdr:spPr>
            <a:xfrm>
              <a:off x="8324850" y="34842450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[0]!limpiarextrapresu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>
              <a:spLocks noRot="1"/>
            </xdr:cNvSpPr>
          </xdr:nvSpPr>
          <xdr:spPr>
            <a:xfrm>
              <a:off x="8334375" y="52539900"/>
              <a:ext cx="1381125" cy="228600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[0]!limpiarisopresu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>
              <a:spLocks noRot="1"/>
            </xdr:cNvSpPr>
          </xdr:nvSpPr>
          <xdr:spPr>
            <a:xfrm>
              <a:off x="8324850" y="60293250"/>
              <a:ext cx="1381125" cy="238125"/>
            </a:xfrm>
            <a:prstGeom prst="rect"/>
            <a:noFill/>
            <a:ln>
              <a:noFill/>
            </a:ln>
          </xdr:spPr>
          <xdr:txBody>
            <a:bodyPr lIns="27432" tIns="18288" rIns="0" bIns="18288" vertOverflow="clip" wrap="square" anchor="ctr" upright="1"/>
            <a:p>
              <a:pPr algn="l" rtl="0"/>
              <a:r>
                <a:rPr lang="en-US" sz="800" u="none" b="0" i="0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[0]!compactar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>
              <a:spLocks noRot="1"/>
            </xdr:cNvSpPr>
          </xdr:nvSpPr>
          <xdr:spPr>
            <a:xfrm>
              <a:off x="66675" y="2009775"/>
              <a:ext cx="857250" cy="20955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/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[0]!descompactar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>
              <a:spLocks noRot="1"/>
            </xdr:cNvSpPr>
          </xdr:nvSpPr>
          <xdr:spPr>
            <a:xfrm>
              <a:off x="76200" y="2276475"/>
              <a:ext cx="838200" cy="247650"/>
            </a:xfrm>
            <a:prstGeom prst="rect"/>
            <a:ln w="9525" cmpd="sng">
              <a:solidFill>
                <a:srgbClr val="000000"/>
              </a:solidFill>
              <a:prstDash val="solid"/>
            </a:ln>
          </xdr:spPr>
          <xdr:txBody>
            <a:bodyPr lIns="27432" tIns="27432" rIns="27432" bIns="27432" vertOverflow="clip" wrap="square" anchor="ctr" upright="1"/>
            <a:p>
              <a:pPr algn="ctr" rtl="0">
                <a:defRPr sz="1000"/>
              </a:pPr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u="none" b="0" i="0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</v>
          </cell>
          <cell r="H11">
            <v>1.15</v>
          </cell>
          <cell r="I11">
            <v>183.195</v>
          </cell>
          <cell r="J11">
            <v>198.766575</v>
          </cell>
          <cell r="K11">
            <v>248.45821875</v>
          </cell>
          <cell r="L11">
            <v>2</v>
          </cell>
          <cell r="M11">
            <v>276.0646875</v>
          </cell>
          <cell r="N11">
            <v>289.867921875</v>
          </cell>
          <cell r="O11">
            <v>324.78198529411765</v>
          </cell>
          <cell r="P11">
            <v>357.2601838235294</v>
          </cell>
          <cell r="Q11">
            <v>3</v>
          </cell>
          <cell r="R11">
            <v>405.977481617647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1.15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514.696875</v>
          </cell>
          <cell r="N12">
            <v>540.43171875</v>
          </cell>
          <cell r="O12">
            <v>605.5257352941177</v>
          </cell>
          <cell r="P12">
            <v>666.0783088235295</v>
          </cell>
          <cell r="Q12">
            <v>3</v>
          </cell>
          <cell r="R12">
            <v>756.9071691176471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1.15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514.696875</v>
          </cell>
          <cell r="N13">
            <v>540.43171875</v>
          </cell>
          <cell r="O13">
            <v>605.5257352941177</v>
          </cell>
          <cell r="P13">
            <v>666.0783088235295</v>
          </cell>
          <cell r="Q13">
            <v>3</v>
          </cell>
          <cell r="R13">
            <v>756.9071691176471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1.15</v>
          </cell>
          <cell r="I14">
            <v>1682.91</v>
          </cell>
          <cell r="J14">
            <v>1825.9573500000001</v>
          </cell>
          <cell r="K14">
            <v>2282.4466875</v>
          </cell>
          <cell r="L14">
            <v>2</v>
          </cell>
          <cell r="M14">
            <v>2536.0518749999997</v>
          </cell>
          <cell r="N14">
            <v>2662.85446875</v>
          </cell>
          <cell r="O14">
            <v>2983.5904411764704</v>
          </cell>
          <cell r="P14">
            <v>3281.949485294118</v>
          </cell>
          <cell r="Q14">
            <v>3</v>
          </cell>
          <cell r="R14">
            <v>3729.488051470588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17.904625</v>
          </cell>
          <cell r="G15">
            <v>24.171243750000002</v>
          </cell>
          <cell r="H15">
            <v>1.15</v>
          </cell>
          <cell r="I15">
            <v>27.7969303125</v>
          </cell>
          <cell r="J15">
            <v>30.159669389062497</v>
          </cell>
          <cell r="K15">
            <v>37.69958673632812</v>
          </cell>
          <cell r="L15">
            <v>2</v>
          </cell>
          <cell r="M15">
            <v>41.88842970703124</v>
          </cell>
          <cell r="N15">
            <v>43.98285119238281</v>
          </cell>
          <cell r="O15">
            <v>49.280505537683815</v>
          </cell>
          <cell r="P15">
            <v>54.2085560914522</v>
          </cell>
          <cell r="Q15">
            <v>3</v>
          </cell>
          <cell r="R15">
            <v>61.60063192210477</v>
          </cell>
        </row>
        <row r="16">
          <cell r="A16">
            <v>14122</v>
          </cell>
          <cell r="D16" t="e">
            <v>#N/A</v>
          </cell>
          <cell r="F16">
            <v>33.7705</v>
          </cell>
          <cell r="G16">
            <v>45.590175</v>
          </cell>
          <cell r="H16">
            <v>1.15</v>
          </cell>
          <cell r="I16">
            <v>52.428701249999996</v>
          </cell>
          <cell r="J16">
            <v>56.88514085625</v>
          </cell>
          <cell r="K16">
            <v>71.1064260703125</v>
          </cell>
          <cell r="L16">
            <v>2</v>
          </cell>
          <cell r="M16">
            <v>79.00714007812499</v>
          </cell>
          <cell r="N16">
            <v>82.95749708203124</v>
          </cell>
          <cell r="O16">
            <v>92.94957656249998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1.15</v>
          </cell>
          <cell r="I17">
            <v>48.701925</v>
          </cell>
          <cell r="J17">
            <v>52.841588625</v>
          </cell>
          <cell r="K17">
            <v>66.05198578125</v>
          </cell>
          <cell r="L17">
            <v>1</v>
          </cell>
          <cell r="M17">
            <v>69.52840608552631</v>
          </cell>
          <cell r="N17">
            <v>73.00482638980263</v>
          </cell>
          <cell r="O17">
            <v>81.79812480650155</v>
          </cell>
          <cell r="P17">
            <v>89.9779372871517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57.21300000000001</v>
          </cell>
          <cell r="H18">
            <v>1.15</v>
          </cell>
          <cell r="I18">
            <v>65.79495</v>
          </cell>
          <cell r="J18">
            <v>71.38752075</v>
          </cell>
          <cell r="K18">
            <v>89.23440093749998</v>
          </cell>
          <cell r="L18">
            <v>2</v>
          </cell>
          <cell r="M18">
            <v>99.14933437499998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</v>
          </cell>
          <cell r="G19">
            <v>980.1000000000003</v>
          </cell>
          <cell r="H19">
            <v>1.15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1.15</v>
          </cell>
          <cell r="I20">
            <v>444.015</v>
          </cell>
          <cell r="J20">
            <v>481.75627499999996</v>
          </cell>
          <cell r="K20">
            <v>602.1953437499999</v>
          </cell>
          <cell r="L20">
            <v>2</v>
          </cell>
          <cell r="M20">
            <v>669.1059374999999</v>
          </cell>
          <cell r="N20">
            <v>702.5612343749999</v>
          </cell>
          <cell r="O20">
            <v>787.1834558823529</v>
          </cell>
          <cell r="P20">
            <v>865.9018014705882</v>
          </cell>
          <cell r="Q20">
            <v>3</v>
          </cell>
          <cell r="R20">
            <v>983.979319852941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162.432</v>
          </cell>
          <cell r="H21">
            <v>1.15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261.51552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325.5717647058823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651.2805000000001</v>
          </cell>
          <cell r="H22">
            <v>1.15</v>
          </cell>
          <cell r="I22">
            <v>748.972575</v>
          </cell>
          <cell r="J22">
            <v>812.635243875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1.15</v>
          </cell>
          <cell r="I23">
            <v>444.015</v>
          </cell>
          <cell r="J23">
            <v>481.75627499999996</v>
          </cell>
          <cell r="K23">
            <v>602.1953437499999</v>
          </cell>
          <cell r="L23">
            <v>2</v>
          </cell>
          <cell r="M23">
            <v>669.1059374999999</v>
          </cell>
          <cell r="N23">
            <v>702.5612343749999</v>
          </cell>
          <cell r="O23">
            <v>787.1834558823529</v>
          </cell>
          <cell r="P23">
            <v>865.9018014705882</v>
          </cell>
          <cell r="Q23">
            <v>3</v>
          </cell>
          <cell r="R23">
            <v>983.979319852941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1.15</v>
          </cell>
          <cell r="I24">
            <v>1929.7575000000002</v>
          </cell>
          <cell r="J24">
            <v>2093.7868875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3421.220404411764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18.116625</v>
          </cell>
          <cell r="G25">
            <v>24.45744375</v>
          </cell>
          <cell r="H25">
            <v>1.15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54.85041337086397</v>
          </cell>
          <cell r="Q25">
            <v>3</v>
          </cell>
          <cell r="R25">
            <v>62.33001519416359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1.15</v>
          </cell>
          <cell r="I26">
            <v>93.14999999999999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140.371875</v>
          </cell>
          <cell r="N26">
            <v>147.39046875</v>
          </cell>
          <cell r="O26">
            <v>165.14338235294116</v>
          </cell>
          <cell r="P26">
            <v>181.6577205882353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/>
          </cell>
          <cell r="E27">
            <v>1</v>
          </cell>
          <cell r="F27">
            <v>651</v>
          </cell>
          <cell r="G27">
            <v>878.85</v>
          </cell>
          <cell r="H27">
            <v>1.15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</v>
          </cell>
          <cell r="H28">
            <v>1.15</v>
          </cell>
          <cell r="I28">
            <v>672.775875</v>
          </cell>
          <cell r="J28">
            <v>729.961824375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0.081</v>
          </cell>
          <cell r="H29">
            <v>1.15</v>
          </cell>
          <cell r="I29">
            <v>0.09315</v>
          </cell>
          <cell r="J29">
            <v>0.10106775</v>
          </cell>
          <cell r="K29">
            <v>0.1263346875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0.1816577205882353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0.081</v>
          </cell>
          <cell r="H30">
            <v>1.15</v>
          </cell>
          <cell r="I30">
            <v>0.09315</v>
          </cell>
          <cell r="J30">
            <v>0.10106775</v>
          </cell>
          <cell r="K30">
            <v>0.1263346875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0.1816577205882353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1.15</v>
          </cell>
          <cell r="I31">
            <v>0.34155</v>
          </cell>
          <cell r="J31">
            <v>0.37058175</v>
          </cell>
          <cell r="K31">
            <v>0.46322718749999997</v>
          </cell>
          <cell r="L31">
            <v>2</v>
          </cell>
          <cell r="M31">
            <v>0.5146968749999999</v>
          </cell>
          <cell r="N31">
            <v>0.54043171875</v>
          </cell>
          <cell r="O31">
            <v>0.6055257352941176</v>
          </cell>
          <cell r="P31">
            <v>0.6660783088235294</v>
          </cell>
          <cell r="Q31">
            <v>3</v>
          </cell>
          <cell r="R31">
            <v>0.7569071691176469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0.027000000000000003</v>
          </cell>
          <cell r="H32">
            <v>1.15</v>
          </cell>
          <cell r="I32">
            <v>0.03105</v>
          </cell>
          <cell r="J32">
            <v>0.03368925</v>
          </cell>
          <cell r="K32">
            <v>0.04211156249999999</v>
          </cell>
          <cell r="L32">
            <v>2</v>
          </cell>
          <cell r="M32">
            <v>0.04679062499999999</v>
          </cell>
          <cell r="N32">
            <v>0.04913015624999999</v>
          </cell>
          <cell r="O32">
            <v>0.05504779411764705</v>
          </cell>
          <cell r="P32">
            <v>0.060552573529411756</v>
          </cell>
          <cell r="Q32">
            <v>3</v>
          </cell>
          <cell r="R32">
            <v>0.0688097426470588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</v>
          </cell>
          <cell r="G33">
            <v>1003.1605650000001</v>
          </cell>
          <cell r="H33">
            <v>1.15</v>
          </cell>
          <cell r="I33">
            <v>1153.63464975</v>
          </cell>
          <cell r="J33">
            <v>1251.69359497875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2249.77606940625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</v>
          </cell>
          <cell r="G34">
            <v>12.904650000000002</v>
          </cell>
          <cell r="H34">
            <v>1.15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</v>
          </cell>
          <cell r="N34">
            <v>23.481758179687503</v>
          </cell>
          <cell r="O34">
            <v>26.31009319852941</v>
          </cell>
          <cell r="P34">
            <v>28.941102518382355</v>
          </cell>
          <cell r="Q34">
            <v>3</v>
          </cell>
          <cell r="R34">
            <v>32.88761649816176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</v>
          </cell>
          <cell r="H35">
            <v>1.15</v>
          </cell>
          <cell r="I35">
            <v>426.67357499999997</v>
          </cell>
          <cell r="J35">
            <v>462.94082887499997</v>
          </cell>
          <cell r="K35">
            <v>578.6760360937499</v>
          </cell>
          <cell r="L35">
            <v>2</v>
          </cell>
          <cell r="M35">
            <v>642.9733734374998</v>
          </cell>
          <cell r="N35">
            <v>675.1220421093749</v>
          </cell>
          <cell r="O35">
            <v>756.4392628676469</v>
          </cell>
          <cell r="P35">
            <v>832.0831891544117</v>
          </cell>
          <cell r="Q35">
            <v>3</v>
          </cell>
          <cell r="R35">
            <v>945.5490785845586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1.15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</v>
          </cell>
          <cell r="O36">
            <v>44.038235294117634</v>
          </cell>
          <cell r="P36">
            <v>48.4420588235294</v>
          </cell>
          <cell r="Q36">
            <v>3</v>
          </cell>
          <cell r="R36">
            <v>55.04779411764704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</v>
          </cell>
          <cell r="G37">
            <v>683.5973062500001</v>
          </cell>
          <cell r="H37">
            <v>1.15</v>
          </cell>
          <cell r="I37">
            <v>786.1369021875</v>
          </cell>
          <cell r="J37">
            <v>852.9585388734375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1.15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</v>
          </cell>
          <cell r="H39">
            <v>1.15</v>
          </cell>
          <cell r="I39">
            <v>351.7965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530.1377812499999</v>
          </cell>
          <cell r="N39">
            <v>556.6446703124999</v>
          </cell>
          <cell r="O39">
            <v>623.691507352941</v>
          </cell>
          <cell r="P39">
            <v>686.0606580882352</v>
          </cell>
          <cell r="Q39">
            <v>3</v>
          </cell>
          <cell r="R39">
            <v>779.6143841911762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1.15</v>
          </cell>
          <cell r="I40">
            <v>43.7184</v>
          </cell>
          <cell r="J40">
            <v>47.434464</v>
          </cell>
          <cell r="K40">
            <v>59.293079999999996</v>
          </cell>
          <cell r="L40">
            <v>2</v>
          </cell>
          <cell r="M40">
            <v>65.88119999999999</v>
          </cell>
          <cell r="N40">
            <v>69.17526</v>
          </cell>
          <cell r="O40">
            <v>77.50729411764705</v>
          </cell>
          <cell r="P40">
            <v>85.25802352941176</v>
          </cell>
          <cell r="Q40">
            <v>3</v>
          </cell>
          <cell r="R40">
            <v>96.8841176470588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1151.11</v>
          </cell>
          <cell r="G41">
            <v>1553.9985</v>
          </cell>
          <cell r="H41">
            <v>1.15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3168.303314338235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838.0260000000001</v>
          </cell>
          <cell r="H42">
            <v>1.15</v>
          </cell>
          <cell r="I42">
            <v>963.7299</v>
          </cell>
          <cell r="J42">
            <v>1045.6469415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44.95925</v>
          </cell>
          <cell r="G43">
            <v>60.6949875</v>
          </cell>
          <cell r="H43">
            <v>1.15</v>
          </cell>
          <cell r="I43">
            <v>69.799235625</v>
          </cell>
          <cell r="J43">
            <v>75.732170653125</v>
          </cell>
          <cell r="K43">
            <v>94.66521331640624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1.15</v>
          </cell>
          <cell r="I44">
            <v>6986.249999999999</v>
          </cell>
          <cell r="J44">
            <v>7580.081249999998</v>
          </cell>
          <cell r="K44">
            <v>9475.101562499998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</v>
          </cell>
          <cell r="H45">
            <v>1.15</v>
          </cell>
          <cell r="I45">
            <v>424.686375</v>
          </cell>
          <cell r="J45">
            <v>460.78471687499996</v>
          </cell>
          <cell r="K45">
            <v>575.98089609375</v>
          </cell>
          <cell r="L45">
            <v>2</v>
          </cell>
          <cell r="M45">
            <v>639.9787734375</v>
          </cell>
          <cell r="N45">
            <v>671.977712109375</v>
          </cell>
          <cell r="O45">
            <v>752.9162040441176</v>
          </cell>
          <cell r="P45">
            <v>828.2078244485294</v>
          </cell>
          <cell r="Q45">
            <v>1</v>
          </cell>
          <cell r="R45">
            <v>836.5735600490195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1.15</v>
          </cell>
          <cell r="I46">
            <v>725.7937499999999</v>
          </cell>
          <cell r="J46">
            <v>787.4862187499999</v>
          </cell>
          <cell r="K46">
            <v>984.3577734374999</v>
          </cell>
          <cell r="L46">
            <v>1</v>
          </cell>
          <cell r="M46">
            <v>1036.1660773026315</v>
          </cell>
          <cell r="N46">
            <v>1087.974381167763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</v>
          </cell>
          <cell r="H47">
            <v>1.15</v>
          </cell>
          <cell r="I47">
            <v>296.019506475</v>
          </cell>
          <cell r="J47">
            <v>301.9398966045</v>
          </cell>
          <cell r="K47">
            <v>355.22340777</v>
          </cell>
          <cell r="L47">
            <v>2</v>
          </cell>
          <cell r="M47">
            <v>394.69267529999996</v>
          </cell>
          <cell r="N47">
            <v>414.427309065</v>
          </cell>
          <cell r="O47">
            <v>464.3443238823529</v>
          </cell>
          <cell r="P47">
            <v>510.77875627058825</v>
          </cell>
          <cell r="Q47">
            <v>1</v>
          </cell>
          <cell r="R47">
            <v>515.9381376470587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1.15</v>
          </cell>
          <cell r="I48">
            <v>256.1625</v>
          </cell>
          <cell r="J48">
            <v>261.28575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442.0058823529413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1.15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2369.429083180147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56.43000000000001</v>
          </cell>
          <cell r="H50">
            <v>1.15</v>
          </cell>
          <cell r="I50">
            <v>64.89450000000001</v>
          </cell>
          <cell r="J50">
            <v>66.19239</v>
          </cell>
          <cell r="K50">
            <v>77.8734</v>
          </cell>
          <cell r="L50">
            <v>2</v>
          </cell>
          <cell r="M50">
            <v>86.526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</v>
          </cell>
          <cell r="H51">
            <v>1.15</v>
          </cell>
          <cell r="I51">
            <v>5551.826940000001</v>
          </cell>
          <cell r="J51">
            <v>6023.732229900001</v>
          </cell>
          <cell r="K51">
            <v>7529.665287375001</v>
          </cell>
          <cell r="L51">
            <v>2</v>
          </cell>
          <cell r="M51">
            <v>8366.29476375</v>
          </cell>
          <cell r="N51">
            <v>8784.6095019375</v>
          </cell>
          <cell r="O51">
            <v>9842.699722058824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4706.427</v>
          </cell>
          <cell r="G52">
            <v>6353.67645</v>
          </cell>
          <cell r="H52">
            <v>1.15</v>
          </cell>
          <cell r="I52">
            <v>7306.727917499999</v>
          </cell>
          <cell r="J52">
            <v>7927.799790487499</v>
          </cell>
          <cell r="K52">
            <v>9909.749738109373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1.15</v>
          </cell>
          <cell r="I53">
            <v>131.37255</v>
          </cell>
          <cell r="J53">
            <v>134.000001</v>
          </cell>
          <cell r="K53">
            <v>157.64706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4158.517</v>
          </cell>
          <cell r="G54">
            <v>5613.99795</v>
          </cell>
          <cell r="H54">
            <v>1.15</v>
          </cell>
          <cell r="I54">
            <v>6456.0976425</v>
          </cell>
          <cell r="J54">
            <v>7004.865942112499</v>
          </cell>
          <cell r="K54">
            <v>8756.082427640624</v>
          </cell>
          <cell r="L54">
            <v>2</v>
          </cell>
          <cell r="M54">
            <v>9728.980475156248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6776.3655</v>
          </cell>
          <cell r="H55">
            <v>1.15</v>
          </cell>
          <cell r="I55">
            <v>7792.820325</v>
          </cell>
          <cell r="J55">
            <v>8455.210052625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</v>
          </cell>
          <cell r="H56">
            <v>1.15</v>
          </cell>
          <cell r="I56">
            <v>9977.57595</v>
          </cell>
          <cell r="J56">
            <v>10825.66990575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</v>
          </cell>
          <cell r="H57">
            <v>1.15</v>
          </cell>
          <cell r="I57">
            <v>12084.768675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23567.27355165441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4918.793000000001</v>
          </cell>
          <cell r="G58">
            <v>6640.3705500000015</v>
          </cell>
          <cell r="H58">
            <v>1.15</v>
          </cell>
          <cell r="I58">
            <v>7636.426132500001</v>
          </cell>
          <cell r="J58">
            <v>8285.5223537625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6375.567000000001</v>
          </cell>
          <cell r="G59">
            <v>8607.015450000003</v>
          </cell>
          <cell r="H59">
            <v>1.15</v>
          </cell>
          <cell r="I59">
            <v>9898.067767500002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</v>
          </cell>
          <cell r="G60">
            <v>10468.076850000001</v>
          </cell>
          <cell r="H60">
            <v>1.15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1.15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1744.336705263158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1.15</v>
          </cell>
          <cell r="I62">
            <v>375.70500000000004</v>
          </cell>
          <cell r="J62">
            <v>383.2191</v>
          </cell>
          <cell r="K62">
            <v>450.84600000000006</v>
          </cell>
          <cell r="L62">
            <v>1</v>
          </cell>
          <cell r="M62">
            <v>474.5747368421053</v>
          </cell>
          <cell r="N62">
            <v>498.3034736842106</v>
          </cell>
          <cell r="O62">
            <v>558.3232198142416</v>
          </cell>
          <cell r="P62">
            <v>614.1555417956658</v>
          </cell>
          <cell r="Q62">
            <v>1</v>
          </cell>
          <cell r="R62">
            <v>620.3591331269351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1.15</v>
          </cell>
          <cell r="I63">
            <v>1793.1374999999998</v>
          </cell>
          <cell r="J63">
            <v>1829.0002499999998</v>
          </cell>
          <cell r="K63">
            <v>2151.765</v>
          </cell>
          <cell r="L63">
            <v>1</v>
          </cell>
          <cell r="M63">
            <v>2265.015789473684</v>
          </cell>
          <cell r="N63">
            <v>2378.266578947368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2960.804953560371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1.15</v>
          </cell>
          <cell r="I64">
            <v>568.478925</v>
          </cell>
          <cell r="J64">
            <v>579.8485035</v>
          </cell>
          <cell r="K64">
            <v>682.17471</v>
          </cell>
          <cell r="L64">
            <v>1</v>
          </cell>
          <cell r="M64">
            <v>718.0786421052632</v>
          </cell>
          <cell r="N64">
            <v>753.9825742105263</v>
          </cell>
          <cell r="O64">
            <v>844.7984024767802</v>
          </cell>
          <cell r="P64">
            <v>929.2782427244583</v>
          </cell>
          <cell r="Q64">
            <v>1</v>
          </cell>
          <cell r="R64">
            <v>938.6648916408669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</v>
          </cell>
          <cell r="G65">
            <v>1275.9304140000002</v>
          </cell>
          <cell r="H65">
            <v>1.15</v>
          </cell>
          <cell r="I65">
            <v>1467.3199761</v>
          </cell>
          <cell r="J65">
            <v>1496.666375622</v>
          </cell>
          <cell r="K65">
            <v>1760.78397132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2180.537425783282</v>
          </cell>
          <cell r="P65">
            <v>2398.59116836161</v>
          </cell>
          <cell r="Q65">
            <v>1</v>
          </cell>
          <cell r="R65">
            <v>2422.819361981424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1.15</v>
          </cell>
          <cell r="I66">
            <v>2354.98725</v>
          </cell>
          <cell r="J66">
            <v>2402.086995</v>
          </cell>
          <cell r="K66">
            <v>2825.9847000000004</v>
          </cell>
          <cell r="L66">
            <v>1</v>
          </cell>
          <cell r="M66">
            <v>2974.720736842106</v>
          </cell>
          <cell r="N66">
            <v>3123.4567736842114</v>
          </cell>
          <cell r="O66">
            <v>3499.67145510836</v>
          </cell>
          <cell r="P66">
            <v>3849.6386006191965</v>
          </cell>
          <cell r="Q66">
            <v>1</v>
          </cell>
          <cell r="R66">
            <v>3888.523839009289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</v>
          </cell>
          <cell r="G67">
            <v>1903.1877315000004</v>
          </cell>
          <cell r="H67">
            <v>1.15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2764.630599442106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</v>
          </cell>
          <cell r="H68">
            <v>1.15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</v>
          </cell>
          <cell r="P68">
            <v>329.4665525735294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1.15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</v>
          </cell>
          <cell r="N69">
            <v>36.01240453124999</v>
          </cell>
          <cell r="O69">
            <v>40.350033088235286</v>
          </cell>
          <cell r="P69">
            <v>44.38503639705882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961.4000000000001</v>
          </cell>
          <cell r="G70">
            <v>1297.89</v>
          </cell>
          <cell r="H70">
            <v>1.15</v>
          </cell>
          <cell r="I70">
            <v>1492.5735</v>
          </cell>
          <cell r="J70">
            <v>1619.4422475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1.15</v>
          </cell>
          <cell r="I71">
            <v>1980.99</v>
          </cell>
          <cell r="J71">
            <v>2149.37415</v>
          </cell>
          <cell r="K71">
            <v>2686.7176875</v>
          </cell>
          <cell r="L71">
            <v>2</v>
          </cell>
          <cell r="M71">
            <v>2985.241875</v>
          </cell>
          <cell r="N71">
            <v>3134.5039687500002</v>
          </cell>
          <cell r="O71">
            <v>3512.0492647058827</v>
          </cell>
          <cell r="P71">
            <v>3863.254191176471</v>
          </cell>
          <cell r="Q71">
            <v>3</v>
          </cell>
          <cell r="R71">
            <v>4390.061580882353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1.15</v>
          </cell>
          <cell r="I72">
            <v>1746.5314500000002</v>
          </cell>
          <cell r="J72">
            <v>1894.98662325</v>
          </cell>
          <cell r="K72">
            <v>2368.7332790625</v>
          </cell>
          <cell r="L72">
            <v>2</v>
          </cell>
          <cell r="M72">
            <v>2631.925865625</v>
          </cell>
          <cell r="N72">
            <v>2763.52215890625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1.15</v>
          </cell>
          <cell r="I73">
            <v>2417.6151</v>
          </cell>
          <cell r="J73">
            <v>2623.1123835</v>
          </cell>
          <cell r="K73">
            <v>3278.890479375</v>
          </cell>
          <cell r="L73">
            <v>2</v>
          </cell>
          <cell r="M73">
            <v>3643.21164375</v>
          </cell>
          <cell r="N73">
            <v>3825.3722259375</v>
          </cell>
          <cell r="O73">
            <v>4286.1313455882355</v>
          </cell>
          <cell r="P73">
            <v>4714.744480147059</v>
          </cell>
          <cell r="Q73">
            <v>3</v>
          </cell>
          <cell r="R73">
            <v>5357.664181985294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1.15</v>
          </cell>
          <cell r="I74">
            <v>853.8749999999999</v>
          </cell>
          <cell r="J74">
            <v>870.9524999999999</v>
          </cell>
          <cell r="K74">
            <v>1024.6499999999999</v>
          </cell>
          <cell r="L74">
            <v>3</v>
          </cell>
          <cell r="M74">
            <v>1205.470588235294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</v>
          </cell>
          <cell r="H75">
            <v>1.15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5575.900000000001</v>
          </cell>
          <cell r="G76">
            <v>7527.465000000001</v>
          </cell>
          <cell r="H76">
            <v>1.15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14293.63839009288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6109.400000000001</v>
          </cell>
          <cell r="G77">
            <v>8247.69</v>
          </cell>
          <cell r="H77">
            <v>1.15</v>
          </cell>
          <cell r="I77">
            <v>9484.843499999999</v>
          </cell>
          <cell r="J77">
            <v>9674.540369999999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</v>
          </cell>
          <cell r="H78">
            <v>1.15</v>
          </cell>
          <cell r="I78">
            <v>0.388125</v>
          </cell>
          <cell r="J78">
            <v>0.421115625</v>
          </cell>
          <cell r="K78">
            <v>0.5263945312499999</v>
          </cell>
          <cell r="L78">
            <v>2</v>
          </cell>
          <cell r="M78">
            <v>0.5848828124999998</v>
          </cell>
          <cell r="N78">
            <v>0.6141269531249999</v>
          </cell>
          <cell r="O78">
            <v>0.688097426470588</v>
          </cell>
          <cell r="P78">
            <v>0.7569071691176469</v>
          </cell>
          <cell r="Q78">
            <v>3</v>
          </cell>
          <cell r="R78">
            <v>0.860121783088235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</v>
          </cell>
          <cell r="H79">
            <v>1.15</v>
          </cell>
          <cell r="I79">
            <v>5989.6692</v>
          </cell>
          <cell r="J79">
            <v>6498.791082</v>
          </cell>
          <cell r="K79">
            <v>8123.4888525</v>
          </cell>
          <cell r="L79">
            <v>2</v>
          </cell>
          <cell r="M79">
            <v>9026.098725</v>
          </cell>
          <cell r="N79">
            <v>9477.40366125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>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1.15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22195.88582043344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1.15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1.15</v>
          </cell>
          <cell r="I82">
            <v>16620.10245</v>
          </cell>
          <cell r="J82">
            <v>16952.504499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22043.50430210526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16072.396125</v>
          </cell>
          <cell r="G83">
            <v>21697.73476875</v>
          </cell>
          <cell r="H83">
            <v>1.15</v>
          </cell>
          <cell r="I83">
            <v>24952.3949840625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33094.75545254606</v>
          </cell>
          <cell r="O83">
            <v>37080.95849024768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</v>
          </cell>
          <cell r="H84">
            <v>1.15</v>
          </cell>
          <cell r="I84">
            <v>41223.765375</v>
          </cell>
          <cell r="J84">
            <v>42048.24068250001</v>
          </cell>
          <cell r="K84">
            <v>49468.51845000001</v>
          </cell>
          <cell r="L84">
            <v>1</v>
          </cell>
          <cell r="M84">
            <v>52072.12468421054</v>
          </cell>
          <cell r="N84">
            <v>54675.73091842107</v>
          </cell>
          <cell r="O84">
            <v>61261.32315789475</v>
          </cell>
          <cell r="P84">
            <v>67387.45547368424</v>
          </cell>
          <cell r="Q84">
            <v>1</v>
          </cell>
          <cell r="R84">
            <v>68068.13684210528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36200.97900000001</v>
          </cell>
          <cell r="H85">
            <v>1.15</v>
          </cell>
          <cell r="I85">
            <v>41631.125850000004</v>
          </cell>
          <cell r="J85">
            <v>42463.74836700001</v>
          </cell>
          <cell r="K85">
            <v>49957.35102000001</v>
          </cell>
          <cell r="L85">
            <v>1</v>
          </cell>
          <cell r="M85">
            <v>52586.685284210536</v>
          </cell>
          <cell r="N85">
            <v>55216.01954842106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68740.7650773994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1.15</v>
          </cell>
          <cell r="I86">
            <v>48913.45312499999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64874.68519736842</v>
          </cell>
          <cell r="O86">
            <v>72688.72291021672</v>
          </cell>
          <cell r="P86">
            <v>79957.5952012384</v>
          </cell>
          <cell r="Q86">
            <v>1</v>
          </cell>
          <cell r="R86">
            <v>80765.24767801857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1.15</v>
          </cell>
          <cell r="I87">
            <v>56729.017575</v>
          </cell>
          <cell r="J87">
            <v>57863.5979265</v>
          </cell>
          <cell r="K87">
            <v>68074.82109</v>
          </cell>
          <cell r="L87">
            <v>1</v>
          </cell>
          <cell r="M87">
            <v>71657.70641052631</v>
          </cell>
          <cell r="N87">
            <v>75240.59173105263</v>
          </cell>
          <cell r="O87">
            <v>84303.1840123839</v>
          </cell>
          <cell r="P87">
            <v>92733.50241362231</v>
          </cell>
          <cell r="Q87">
            <v>1</v>
          </cell>
          <cell r="R87">
            <v>93670.20445820435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1.15</v>
          </cell>
          <cell r="I88">
            <v>69399.870525</v>
          </cell>
          <cell r="J88">
            <v>70787.8679355</v>
          </cell>
          <cell r="K88">
            <v>83279.84463</v>
          </cell>
          <cell r="L88">
            <v>1</v>
          </cell>
          <cell r="M88">
            <v>87662.99434736843</v>
          </cell>
          <cell r="N88">
            <v>92046.14406473684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</v>
          </cell>
          <cell r="H89">
            <v>1.15</v>
          </cell>
          <cell r="I89">
            <v>42175.61865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1.15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68078.24203095977</v>
          </cell>
          <cell r="P90">
            <v>74886.06623405575</v>
          </cell>
          <cell r="Q90">
            <v>1</v>
          </cell>
          <cell r="R90">
            <v>75642.49114551085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</v>
          </cell>
          <cell r="H91">
            <v>1.15</v>
          </cell>
          <cell r="I91">
            <v>49977.67635</v>
          </cell>
          <cell r="J91">
            <v>50977.229877000005</v>
          </cell>
          <cell r="K91">
            <v>59973.21162000001</v>
          </cell>
          <cell r="L91">
            <v>1</v>
          </cell>
          <cell r="M91">
            <v>63129.696442105276</v>
          </cell>
          <cell r="N91">
            <v>66286.18126421054</v>
          </cell>
          <cell r="O91">
            <v>74270.23110835915</v>
          </cell>
          <cell r="P91">
            <v>81697.25421919506</v>
          </cell>
          <cell r="Q91">
            <v>1</v>
          </cell>
          <cell r="R91">
            <v>82522.47900928794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1.15</v>
          </cell>
          <cell r="I92">
            <v>54416.677500000005</v>
          </cell>
          <cell r="J92">
            <v>55505.01105000001</v>
          </cell>
          <cell r="K92">
            <v>65300.01300000001</v>
          </cell>
          <cell r="L92">
            <v>1</v>
          </cell>
          <cell r="M92">
            <v>68736.8557894737</v>
          </cell>
          <cell r="N92">
            <v>72173.69857894738</v>
          </cell>
          <cell r="O92">
            <v>80866.88916408671</v>
          </cell>
          <cell r="P92">
            <v>88953.57808049538</v>
          </cell>
          <cell r="Q92">
            <v>1</v>
          </cell>
          <cell r="R92">
            <v>89852.09907120746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1.15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1.15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2426.60503591579</v>
          </cell>
          <cell r="N94">
            <v>2547.9352877115793</v>
          </cell>
          <cell r="O94">
            <v>2854.829454018576</v>
          </cell>
          <cell r="P94">
            <v>3140.312399420434</v>
          </cell>
          <cell r="Q94">
            <v>1</v>
          </cell>
          <cell r="R94">
            <v>3172.032726687307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1.15</v>
          </cell>
          <cell r="I95">
            <v>1827.2925</v>
          </cell>
          <cell r="J95">
            <v>1863.83835</v>
          </cell>
          <cell r="K95">
            <v>2192.751</v>
          </cell>
          <cell r="L95">
            <v>1</v>
          </cell>
          <cell r="M95">
            <v>2308.158947368421</v>
          </cell>
          <cell r="N95">
            <v>2423.566894736842</v>
          </cell>
          <cell r="O95">
            <v>2715.481114551084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1.15</v>
          </cell>
          <cell r="I96">
            <v>1938.29625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2448.374210526316</v>
          </cell>
          <cell r="N96">
            <v>2570.7929210526318</v>
          </cell>
          <cell r="O96">
            <v>2880.4402476780187</v>
          </cell>
          <cell r="P96">
            <v>3168.484272445821</v>
          </cell>
          <cell r="Q96">
            <v>1</v>
          </cell>
          <cell r="R96">
            <v>3200.489164086687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1.15</v>
          </cell>
          <cell r="I97">
            <v>1958.9188682250003</v>
          </cell>
          <cell r="J97">
            <v>1998.0972455895003</v>
          </cell>
          <cell r="K97">
            <v>2350.70264187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1.15</v>
          </cell>
          <cell r="I98">
            <v>1958.9188682250003</v>
          </cell>
          <cell r="J98">
            <v>1998.0972455895003</v>
          </cell>
          <cell r="K98">
            <v>2350.70264187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1.15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</v>
          </cell>
          <cell r="N99">
            <v>4317.199823292633</v>
          </cell>
          <cell r="O99">
            <v>4837.198681560372</v>
          </cell>
          <cell r="P99">
            <v>5320.91854971641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1.15</v>
          </cell>
          <cell r="I100">
            <v>3581.1517500000004</v>
          </cell>
          <cell r="J100">
            <v>3652.7747850000005</v>
          </cell>
          <cell r="K100">
            <v>4297.382100000001</v>
          </cell>
          <cell r="L100">
            <v>1</v>
          </cell>
          <cell r="M100">
            <v>4523.560105263159</v>
          </cell>
          <cell r="N100">
            <v>4749.7381105263175</v>
          </cell>
          <cell r="O100">
            <v>5321.835417956658</v>
          </cell>
          <cell r="P100">
            <v>5854.018959752324</v>
          </cell>
          <cell r="Q100">
            <v>1</v>
          </cell>
          <cell r="R100">
            <v>5913.150464396286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</v>
          </cell>
          <cell r="H101">
            <v>1.15</v>
          </cell>
          <cell r="I101">
            <v>313.341075</v>
          </cell>
          <cell r="J101">
            <v>339.975066375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555.5148143382353</v>
          </cell>
          <cell r="P101">
            <v>611.0662957720589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</v>
          </cell>
          <cell r="K102">
            <v>11.5067555859375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1.15</v>
          </cell>
          <cell r="I103">
            <v>21.394808437499997</v>
          </cell>
          <cell r="J103">
            <v>23.213367154687496</v>
          </cell>
          <cell r="K103">
            <v>29.01670894335937</v>
          </cell>
          <cell r="L103">
            <v>2</v>
          </cell>
          <cell r="M103">
            <v>32.24078771484374</v>
          </cell>
          <cell r="N103">
            <v>33.85282710058593</v>
          </cell>
          <cell r="O103">
            <v>37.93033848805146</v>
          </cell>
          <cell r="P103">
            <v>41.72337233685661</v>
          </cell>
          <cell r="Q103">
            <v>3</v>
          </cell>
          <cell r="R103">
            <v>47.41292311006433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274.7250000000001</v>
          </cell>
          <cell r="H104">
            <v>1.15</v>
          </cell>
          <cell r="I104">
            <v>315.9337500000001</v>
          </cell>
          <cell r="J104">
            <v>342.7881187500001</v>
          </cell>
          <cell r="K104">
            <v>428.4851484375001</v>
          </cell>
          <cell r="L104">
            <v>3</v>
          </cell>
          <cell r="M104">
            <v>504.10017463235306</v>
          </cell>
          <cell r="N104">
            <v>529.3051833639707</v>
          </cell>
          <cell r="O104">
            <v>593.0590289792389</v>
          </cell>
          <cell r="P104">
            <v>652.3649318771628</v>
          </cell>
          <cell r="Q104">
            <v>3</v>
          </cell>
          <cell r="R104">
            <v>741.3237862240485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274.7250000000001</v>
          </cell>
          <cell r="H105">
            <v>1.15</v>
          </cell>
          <cell r="I105">
            <v>315.9337500000001</v>
          </cell>
          <cell r="J105">
            <v>342.7881187500001</v>
          </cell>
          <cell r="K105">
            <v>428.4851484375001</v>
          </cell>
          <cell r="L105">
            <v>3</v>
          </cell>
          <cell r="M105">
            <v>504.10017463235306</v>
          </cell>
          <cell r="N105">
            <v>529.3051833639707</v>
          </cell>
          <cell r="O105">
            <v>593.0590289792389</v>
          </cell>
          <cell r="P105">
            <v>652.3649318771628</v>
          </cell>
          <cell r="Q105">
            <v>3</v>
          </cell>
          <cell r="R105">
            <v>741.3237862240485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</v>
          </cell>
          <cell r="H106">
            <v>1.15</v>
          </cell>
          <cell r="I106">
            <v>317.998575</v>
          </cell>
          <cell r="J106">
            <v>345.028453875</v>
          </cell>
          <cell r="K106">
            <v>431.28556734375</v>
          </cell>
          <cell r="L106">
            <v>3</v>
          </cell>
          <cell r="M106">
            <v>507.39478511029415</v>
          </cell>
          <cell r="N106">
            <v>532.7645243658088</v>
          </cell>
          <cell r="O106">
            <v>596.9350413062284</v>
          </cell>
          <cell r="P106">
            <v>656.6285454368513</v>
          </cell>
          <cell r="Q106">
            <v>3</v>
          </cell>
          <cell r="R106">
            <v>746.1688016327855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274.7250000000001</v>
          </cell>
          <cell r="H107">
            <v>1.15</v>
          </cell>
          <cell r="I107">
            <v>315.9337500000001</v>
          </cell>
          <cell r="J107">
            <v>342.7881187500001</v>
          </cell>
          <cell r="K107">
            <v>428.4851484375001</v>
          </cell>
          <cell r="L107">
            <v>3</v>
          </cell>
          <cell r="M107">
            <v>504.10017463235306</v>
          </cell>
          <cell r="N107">
            <v>529.3051833639707</v>
          </cell>
          <cell r="O107">
            <v>593.0590289792389</v>
          </cell>
          <cell r="P107">
            <v>652.3649318771628</v>
          </cell>
          <cell r="Q107">
            <v>3</v>
          </cell>
          <cell r="R107">
            <v>741.3237862240485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1.15</v>
          </cell>
          <cell r="I108">
            <v>353.96999999999997</v>
          </cell>
          <cell r="J108">
            <v>384.05744999999996</v>
          </cell>
          <cell r="K108">
            <v>480.0718124999999</v>
          </cell>
          <cell r="L108">
            <v>3</v>
          </cell>
          <cell r="M108">
            <v>564.7903676470587</v>
          </cell>
          <cell r="N108">
            <v>593.0298860294116</v>
          </cell>
          <cell r="O108">
            <v>664.4592560553632</v>
          </cell>
          <cell r="P108">
            <v>730.9051816608995</v>
          </cell>
          <cell r="Q108">
            <v>3</v>
          </cell>
          <cell r="R108">
            <v>830.5740700692039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</v>
          </cell>
          <cell r="G109">
            <v>926.4618000000002</v>
          </cell>
          <cell r="H109">
            <v>1.15</v>
          </cell>
          <cell r="I109">
            <v>1065.43107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2199.986128105537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1.15</v>
          </cell>
          <cell r="I110">
            <v>290.31750000000005</v>
          </cell>
          <cell r="J110">
            <v>314.99448750000005</v>
          </cell>
          <cell r="K110">
            <v>393.743109375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514.6968750000001</v>
          </cell>
          <cell r="P110">
            <v>566.1665625000002</v>
          </cell>
          <cell r="Q110">
            <v>3</v>
          </cell>
          <cell r="R110">
            <v>643.3710937500001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8.910000000000002</v>
          </cell>
          <cell r="H111">
            <v>1.15</v>
          </cell>
          <cell r="I111">
            <v>10.246500000000001</v>
          </cell>
          <cell r="J111">
            <v>11.1174525</v>
          </cell>
          <cell r="K111">
            <v>13.896815625</v>
          </cell>
          <cell r="L111">
            <v>2</v>
          </cell>
          <cell r="M111">
            <v>15.44090625</v>
          </cell>
          <cell r="N111">
            <v>16.2129515625</v>
          </cell>
          <cell r="O111">
            <v>18.165772058823528</v>
          </cell>
          <cell r="P111">
            <v>19.98234926470588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1.15</v>
          </cell>
          <cell r="I112">
            <v>5.1232500000000005</v>
          </cell>
          <cell r="J112">
            <v>5.55872625</v>
          </cell>
          <cell r="K112">
            <v>6.9484078125</v>
          </cell>
          <cell r="L112">
            <v>2</v>
          </cell>
          <cell r="M112">
            <v>7.720453125</v>
          </cell>
          <cell r="N112">
            <v>8.10647578125</v>
          </cell>
          <cell r="O112">
            <v>9.082886029411764</v>
          </cell>
          <cell r="P112">
            <v>9.99117463235294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7.425000000000001</v>
          </cell>
          <cell r="H113">
            <v>1.15</v>
          </cell>
          <cell r="I113">
            <v>8.53875</v>
          </cell>
          <cell r="J113">
            <v>9.26454375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</v>
          </cell>
          <cell r="G114">
            <v>2.9700000000000006</v>
          </cell>
          <cell r="H114">
            <v>1.15</v>
          </cell>
          <cell r="I114">
            <v>3.4155000000000006</v>
          </cell>
          <cell r="J114">
            <v>3.7058175000000007</v>
          </cell>
          <cell r="K114">
            <v>4.632271875000001</v>
          </cell>
          <cell r="L114">
            <v>2</v>
          </cell>
          <cell r="M114">
            <v>5.146968750000001</v>
          </cell>
          <cell r="N114">
            <v>5.404317187500001</v>
          </cell>
          <cell r="O114">
            <v>6.055257352941178</v>
          </cell>
          <cell r="P114">
            <v>6.660783088235296</v>
          </cell>
          <cell r="Q114">
            <v>3</v>
          </cell>
          <cell r="R114">
            <v>7.569071691176472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1.15</v>
          </cell>
          <cell r="I115">
            <v>5837.0895</v>
          </cell>
          <cell r="J115">
            <v>6333.2421075</v>
          </cell>
          <cell r="K115">
            <v>7916.552634375</v>
          </cell>
          <cell r="L115">
            <v>1</v>
          </cell>
          <cell r="M115">
            <v>8333.213299342106</v>
          </cell>
          <cell r="N115">
            <v>8749.87396430921</v>
          </cell>
          <cell r="O115">
            <v>9803.780352167183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1.15</v>
          </cell>
          <cell r="I116">
            <v>273.24</v>
          </cell>
          <cell r="J116">
            <v>296.4654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</v>
          </cell>
          <cell r="O116">
            <v>512.9159169550172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614.7900000000001</v>
          </cell>
          <cell r="H117">
            <v>1.15</v>
          </cell>
          <cell r="I117">
            <v>707.0085</v>
          </cell>
          <cell r="J117">
            <v>767.1042225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</v>
          </cell>
          <cell r="O117">
            <v>1327.169935121107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</v>
          </cell>
          <cell r="G118">
            <v>4.5451125</v>
          </cell>
          <cell r="H118">
            <v>1.15</v>
          </cell>
          <cell r="I118">
            <v>5.226879374999999</v>
          </cell>
          <cell r="J118">
            <v>5.671164121874999</v>
          </cell>
          <cell r="K118">
            <v>7.088955152343749</v>
          </cell>
          <cell r="L118">
            <v>2</v>
          </cell>
          <cell r="M118">
            <v>7.876616835937498</v>
          </cell>
          <cell r="N118">
            <v>8.270447677734374</v>
          </cell>
          <cell r="O118">
            <v>9.26660804227941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1.15</v>
          </cell>
          <cell r="I119">
            <v>46.10925</v>
          </cell>
          <cell r="J119">
            <v>50.02853625</v>
          </cell>
          <cell r="K119">
            <v>62.5356703125</v>
          </cell>
          <cell r="L119">
            <v>2</v>
          </cell>
          <cell r="M119">
            <v>69.484078125</v>
          </cell>
          <cell r="N119">
            <v>72.95828203125</v>
          </cell>
          <cell r="O119">
            <v>81.74597426470588</v>
          </cell>
          <cell r="P119">
            <v>89.92057169117648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1.15</v>
          </cell>
          <cell r="I120">
            <v>1234.8740249999998</v>
          </cell>
          <cell r="J120">
            <v>1259.5715054999998</v>
          </cell>
          <cell r="K120">
            <v>1481.84883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2130.763023529412</v>
          </cell>
          <cell r="Q120">
            <v>1</v>
          </cell>
          <cell r="R120">
            <v>2152.285882352941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1.15</v>
          </cell>
          <cell r="I121">
            <v>361.033875</v>
          </cell>
          <cell r="J121">
            <v>391.721754375</v>
          </cell>
          <cell r="K121">
            <v>489.65219296874994</v>
          </cell>
          <cell r="L121">
            <v>2</v>
          </cell>
          <cell r="M121">
            <v>544.0579921875</v>
          </cell>
          <cell r="N121">
            <v>571.260891796875</v>
          </cell>
          <cell r="O121">
            <v>640.0682261029411</v>
          </cell>
          <cell r="P121">
            <v>704.0750487132353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</v>
          </cell>
          <cell r="H122">
            <v>1.15</v>
          </cell>
          <cell r="I122">
            <v>3.2132868749999997</v>
          </cell>
          <cell r="J122">
            <v>3.4864162593749994</v>
          </cell>
          <cell r="K122">
            <v>4.358020324218749</v>
          </cell>
          <cell r="L122">
            <v>2</v>
          </cell>
          <cell r="M122">
            <v>4.842244804687499</v>
          </cell>
          <cell r="N122">
            <v>5.084357044921874</v>
          </cell>
          <cell r="O122">
            <v>5.6967585937499985</v>
          </cell>
          <cell r="P122">
            <v>6.266434453124999</v>
          </cell>
          <cell r="Q122">
            <v>3</v>
          </cell>
          <cell r="R122">
            <v>7.120948242187498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1.15</v>
          </cell>
          <cell r="I123">
            <v>2.3442749999999997</v>
          </cell>
          <cell r="J123">
            <v>2.5435383749999994</v>
          </cell>
          <cell r="K123">
            <v>3.179422968749999</v>
          </cell>
          <cell r="L123">
            <v>2</v>
          </cell>
          <cell r="M123">
            <v>3.532692187499999</v>
          </cell>
          <cell r="N123">
            <v>3.709326796874999</v>
          </cell>
          <cell r="O123">
            <v>4.156108455882352</v>
          </cell>
          <cell r="P123">
            <v>4.571719301470588</v>
          </cell>
          <cell r="Q123">
            <v>3</v>
          </cell>
          <cell r="R123">
            <v>5.19513556985294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80.20100000000001</v>
          </cell>
          <cell r="G124">
            <v>108.27135000000001</v>
          </cell>
          <cell r="H124">
            <v>1.15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</v>
          </cell>
          <cell r="N124">
            <v>197.0143830703125</v>
          </cell>
          <cell r="O124">
            <v>220.7444068014706</v>
          </cell>
          <cell r="P124">
            <v>242.8188474816177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</v>
          </cell>
          <cell r="G125">
            <v>10.395000000000001</v>
          </cell>
          <cell r="H125">
            <v>1.15</v>
          </cell>
          <cell r="I125">
            <v>11.95425</v>
          </cell>
          <cell r="J125">
            <v>12.97036125</v>
          </cell>
          <cell r="K125">
            <v>16.2129515625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1.15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34.06082261029412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</v>
          </cell>
          <cell r="H127">
            <v>1.15</v>
          </cell>
          <cell r="I127">
            <v>19.844055</v>
          </cell>
          <cell r="J127">
            <v>21.530799675</v>
          </cell>
          <cell r="K127">
            <v>26.91349959375</v>
          </cell>
          <cell r="L127">
            <v>2</v>
          </cell>
          <cell r="M127">
            <v>29.9038884375</v>
          </cell>
          <cell r="N127">
            <v>31.399082859375003</v>
          </cell>
          <cell r="O127">
            <v>35.18104522058824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</v>
          </cell>
          <cell r="G128">
            <v>3.1078080000000003</v>
          </cell>
          <cell r="H128">
            <v>1.15</v>
          </cell>
          <cell r="I128">
            <v>3.5739792</v>
          </cell>
          <cell r="J128">
            <v>3.877767432</v>
          </cell>
          <cell r="K128">
            <v>4.84720929</v>
          </cell>
          <cell r="L128">
            <v>2</v>
          </cell>
          <cell r="M128">
            <v>5.3857881</v>
          </cell>
          <cell r="N128">
            <v>5.655077505</v>
          </cell>
          <cell r="O128">
            <v>6.336221294117648</v>
          </cell>
          <cell r="P128">
            <v>6.969843423529413</v>
          </cell>
          <cell r="Q128">
            <v>3</v>
          </cell>
          <cell r="R128">
            <v>7.920276617647059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1.15</v>
          </cell>
          <cell r="I129">
            <v>32.447250000000004</v>
          </cell>
          <cell r="J129">
            <v>35.20526625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63.2774393382353</v>
          </cell>
          <cell r="Q129">
            <v>3</v>
          </cell>
          <cell r="R129">
            <v>71.90618106617646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</v>
          </cell>
          <cell r="H130">
            <v>1.15</v>
          </cell>
          <cell r="I130">
            <v>21.5347275</v>
          </cell>
          <cell r="J130">
            <v>23.3651793375</v>
          </cell>
          <cell r="K130">
            <v>29.206474171874998</v>
          </cell>
          <cell r="L130">
            <v>2</v>
          </cell>
          <cell r="M130">
            <v>32.45163796875</v>
          </cell>
          <cell r="N130">
            <v>34.0742198671875</v>
          </cell>
          <cell r="O130">
            <v>38.17839761029412</v>
          </cell>
          <cell r="P130">
            <v>41.99623737132354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39.05</v>
          </cell>
          <cell r="G131">
            <v>52.7175</v>
          </cell>
          <cell r="H131">
            <v>1.15</v>
          </cell>
          <cell r="I131">
            <v>60.625125</v>
          </cell>
          <cell r="J131">
            <v>65.778260625</v>
          </cell>
          <cell r="K131">
            <v>82.22282578125</v>
          </cell>
          <cell r="L131">
            <v>2</v>
          </cell>
          <cell r="M131">
            <v>91.35869531249999</v>
          </cell>
          <cell r="N131">
            <v>95.92663007812499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4.048000000000001</v>
          </cell>
          <cell r="G132">
            <v>5.464800000000001</v>
          </cell>
          <cell r="H132">
            <v>1.15</v>
          </cell>
          <cell r="I132">
            <v>6.2845200000000006</v>
          </cell>
          <cell r="J132">
            <v>6.8187042</v>
          </cell>
          <cell r="K132">
            <v>8.523380249999999</v>
          </cell>
          <cell r="L132">
            <v>2</v>
          </cell>
          <cell r="M132">
            <v>9.470422499999998</v>
          </cell>
          <cell r="N132">
            <v>9.943943624999998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</v>
          </cell>
          <cell r="H133">
            <v>1.15</v>
          </cell>
          <cell r="I133">
            <v>3.2132868749999997</v>
          </cell>
          <cell r="J133">
            <v>3.4864162593749994</v>
          </cell>
          <cell r="K133">
            <v>4.358020324218749</v>
          </cell>
          <cell r="L133">
            <v>2</v>
          </cell>
          <cell r="M133">
            <v>4.842244804687499</v>
          </cell>
          <cell r="N133">
            <v>5.084357044921874</v>
          </cell>
          <cell r="O133">
            <v>5.6967585937499985</v>
          </cell>
          <cell r="P133">
            <v>6.266434453124999</v>
          </cell>
          <cell r="Q133">
            <v>3</v>
          </cell>
          <cell r="R133">
            <v>7.120948242187498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</v>
          </cell>
          <cell r="G134">
            <v>358.03080000000006</v>
          </cell>
          <cell r="H134">
            <v>1.15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</v>
          </cell>
          <cell r="N134">
            <v>651.4855239375</v>
          </cell>
          <cell r="O134">
            <v>729.9557691176472</v>
          </cell>
          <cell r="P134">
            <v>802.951346029412</v>
          </cell>
          <cell r="Q134">
            <v>3</v>
          </cell>
          <cell r="R134">
            <v>912.4447113970589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1.15</v>
          </cell>
          <cell r="I135">
            <v>340.743864375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513.4820733984375</v>
          </cell>
          <cell r="N135">
            <v>539.1561770683594</v>
          </cell>
          <cell r="O135">
            <v>604.0965569393383</v>
          </cell>
          <cell r="P135">
            <v>664.5062126332722</v>
          </cell>
          <cell r="Q135">
            <v>3</v>
          </cell>
          <cell r="R135">
            <v>755.1206961741727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</v>
          </cell>
          <cell r="G136">
            <v>1961.1362250000002</v>
          </cell>
          <cell r="H136">
            <v>1.15</v>
          </cell>
          <cell r="I136">
            <v>2255.30665875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</v>
          </cell>
          <cell r="N136">
            <v>3568.552931917969</v>
          </cell>
          <cell r="O136">
            <v>3998.378635202206</v>
          </cell>
          <cell r="P136">
            <v>4398.216498722427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>Valvula reguladora 215 (REGULATOR ASSY,VAC,BVR-215)</v>
          </cell>
          <cell r="E137">
            <v>1</v>
          </cell>
          <cell r="F137">
            <v>96.80000000000001</v>
          </cell>
          <cell r="G137">
            <v>130.68000000000004</v>
          </cell>
          <cell r="H137">
            <v>1.15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293.074455882353</v>
          </cell>
          <cell r="Q137">
            <v>3</v>
          </cell>
          <cell r="R137">
            <v>333.0391544117647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1.15</v>
          </cell>
          <cell r="I138">
            <v>3.027375</v>
          </cell>
          <cell r="J138">
            <v>3.284701875</v>
          </cell>
          <cell r="K138">
            <v>4.10587734375</v>
          </cell>
          <cell r="L138">
            <v>1</v>
          </cell>
          <cell r="M138">
            <v>4.3219761513157895</v>
          </cell>
          <cell r="N138">
            <v>4.538074958881579</v>
          </cell>
          <cell r="O138">
            <v>5.084677825077399</v>
          </cell>
          <cell r="P138">
            <v>5.59314560758514</v>
          </cell>
          <cell r="Q138">
            <v>3</v>
          </cell>
          <cell r="R138">
            <v>6.355847281346749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1.15</v>
          </cell>
          <cell r="I139">
            <v>58.995</v>
          </cell>
          <cell r="J139">
            <v>64.009575</v>
          </cell>
          <cell r="K139">
            <v>80.01196875</v>
          </cell>
          <cell r="L139">
            <v>1</v>
          </cell>
          <cell r="M139">
            <v>84.223125</v>
          </cell>
          <cell r="N139">
            <v>88.43428125</v>
          </cell>
          <cell r="O139">
            <v>99.0860294117647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5337.913500000001</v>
          </cell>
          <cell r="H140">
            <v>1.15</v>
          </cell>
          <cell r="I140">
            <v>6138.600525</v>
          </cell>
          <cell r="J140">
            <v>6660.381569624999</v>
          </cell>
          <cell r="K140">
            <v>8325.476962031249</v>
          </cell>
          <cell r="L140">
            <v>2</v>
          </cell>
          <cell r="M140">
            <v>9250.5299578125</v>
          </cell>
          <cell r="N140">
            <v>9713.056455703125</v>
          </cell>
          <cell r="O140">
            <v>10882.976420955882</v>
          </cell>
          <cell r="P140">
            <v>11971.27406305147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4032.747</v>
          </cell>
          <cell r="H141">
            <v>1.15</v>
          </cell>
          <cell r="I141">
            <v>4637.659049999999</v>
          </cell>
          <cell r="J141">
            <v>5031.8600692499995</v>
          </cell>
          <cell r="K141">
            <v>6289.825086562499</v>
          </cell>
          <cell r="L141">
            <v>1</v>
          </cell>
          <cell r="M141">
            <v>6620.868512171051</v>
          </cell>
          <cell r="N141">
            <v>6951.911937779604</v>
          </cell>
          <cell r="O141">
            <v>7789.257073142414</v>
          </cell>
          <cell r="P141">
            <v>8568.182780456656</v>
          </cell>
          <cell r="Q141">
            <v>3</v>
          </cell>
          <cell r="R141">
            <v>9736.571341428016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1.15</v>
          </cell>
          <cell r="I142">
            <v>4409.5968</v>
          </cell>
          <cell r="J142">
            <v>4784.412528</v>
          </cell>
          <cell r="K142">
            <v>5980.515659999999</v>
          </cell>
          <cell r="L142">
            <v>2</v>
          </cell>
          <cell r="M142">
            <v>6645.017399999999</v>
          </cell>
          <cell r="N142">
            <v>6977.268269999999</v>
          </cell>
          <cell r="O142">
            <v>7817.667529411763</v>
          </cell>
          <cell r="P142">
            <v>8599.43428235294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</v>
          </cell>
          <cell r="H143">
            <v>1.15</v>
          </cell>
          <cell r="I143">
            <v>5185.5363</v>
          </cell>
          <cell r="J143">
            <v>5626.306885499999</v>
          </cell>
          <cell r="K143">
            <v>7032.883606874999</v>
          </cell>
          <cell r="L143">
            <v>1</v>
          </cell>
          <cell r="M143">
            <v>7403.035375657893</v>
          </cell>
          <cell r="N143">
            <v>7773.187144440788</v>
          </cell>
          <cell r="O143">
            <v>8709.453383126933</v>
          </cell>
          <cell r="P143">
            <v>9580.398721439627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1.15</v>
          </cell>
          <cell r="I144">
            <v>2221.643025</v>
          </cell>
          <cell r="J144">
            <v>2410.482682125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</v>
          </cell>
          <cell r="P144">
            <v>4332.566912316176</v>
          </cell>
          <cell r="Q144">
            <v>3</v>
          </cell>
          <cell r="R144">
            <v>4923.371491268381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1.15</v>
          </cell>
          <cell r="I145">
            <v>4925.663325</v>
          </cell>
          <cell r="J145">
            <v>5344.344707625</v>
          </cell>
          <cell r="K145">
            <v>6680.43088453125</v>
          </cell>
          <cell r="L145">
            <v>1</v>
          </cell>
          <cell r="M145">
            <v>7032.032510032895</v>
          </cell>
          <cell r="N145">
            <v>7383.634135534539</v>
          </cell>
          <cell r="O145">
            <v>8272.979423568111</v>
          </cell>
          <cell r="P145">
            <v>9100.277365924923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4830.6645</v>
          </cell>
          <cell r="H146">
            <v>1.15</v>
          </cell>
          <cell r="I146">
            <v>5555.264174999999</v>
          </cell>
          <cell r="J146">
            <v>6027.461629874999</v>
          </cell>
          <cell r="K146">
            <v>7534.327037343748</v>
          </cell>
          <cell r="L146">
            <v>1</v>
          </cell>
          <cell r="M146">
            <v>7930.870565624999</v>
          </cell>
          <cell r="N146">
            <v>8327.414093906249</v>
          </cell>
          <cell r="O146">
            <v>9330.435959558821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</v>
          </cell>
          <cell r="G147">
            <v>5976.531000000001</v>
          </cell>
          <cell r="H147">
            <v>1.15</v>
          </cell>
          <cell r="I147">
            <v>6873.01065</v>
          </cell>
          <cell r="J147">
            <v>7457.21655525</v>
          </cell>
          <cell r="K147">
            <v>9321.5206940625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15231.24296415441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1.15</v>
          </cell>
          <cell r="I148">
            <v>4522.199625</v>
          </cell>
          <cell r="J148">
            <v>4906.586593125</v>
          </cell>
          <cell r="K148">
            <v>6133.233241406249</v>
          </cell>
          <cell r="L148">
            <v>1</v>
          </cell>
          <cell r="M148">
            <v>6456.034990953947</v>
          </cell>
          <cell r="N148">
            <v>6778.836740501645</v>
          </cell>
          <cell r="O148">
            <v>7595.335283475232</v>
          </cell>
          <cell r="P148">
            <v>8354.868811822756</v>
          </cell>
          <cell r="Q148">
            <v>3</v>
          </cell>
          <cell r="R148">
            <v>9494.16910434404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1.15</v>
          </cell>
          <cell r="I149">
            <v>5052.456</v>
          </cell>
          <cell r="J149">
            <v>5481.91476</v>
          </cell>
          <cell r="K149">
            <v>6852.39345</v>
          </cell>
          <cell r="L149">
            <v>2</v>
          </cell>
          <cell r="M149">
            <v>7613.7705</v>
          </cell>
          <cell r="N149">
            <v>7994.459025</v>
          </cell>
          <cell r="O149">
            <v>8957.37705882353</v>
          </cell>
          <cell r="P149">
            <v>9853.114764705882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5020.137000000001</v>
          </cell>
          <cell r="H150">
            <v>1.15</v>
          </cell>
          <cell r="I150">
            <v>5773.15755</v>
          </cell>
          <cell r="J150">
            <v>6263.87594175</v>
          </cell>
          <cell r="K150">
            <v>7829.844927187499</v>
          </cell>
          <cell r="L150">
            <v>1</v>
          </cell>
          <cell r="M150">
            <v>8241.94202861842</v>
          </cell>
          <cell r="N150">
            <v>8654.039130049341</v>
          </cell>
          <cell r="O150">
            <v>9696.402386609905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1.15</v>
          </cell>
          <cell r="I151">
            <v>4107.402675</v>
          </cell>
          <cell r="J151">
            <v>4456.531902375</v>
          </cell>
          <cell r="K151">
            <v>5570.664877968749</v>
          </cell>
          <cell r="L151">
            <v>1</v>
          </cell>
          <cell r="M151">
            <v>5863.857766282895</v>
          </cell>
          <cell r="N151">
            <v>6157.05065459704</v>
          </cell>
          <cell r="O151">
            <v>6898.656195626935</v>
          </cell>
          <cell r="P151">
            <v>7588.52181518963</v>
          </cell>
          <cell r="Q151">
            <v>3</v>
          </cell>
          <cell r="R151">
            <v>8623.320244533668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</v>
          </cell>
          <cell r="H152">
            <v>1.15</v>
          </cell>
          <cell r="I152">
            <v>4877.101125</v>
          </cell>
          <cell r="J152">
            <v>5291.654720625</v>
          </cell>
          <cell r="K152">
            <v>6614.56840078125</v>
          </cell>
          <cell r="L152">
            <v>1</v>
          </cell>
          <cell r="M152">
            <v>6962.703579769737</v>
          </cell>
          <cell r="N152">
            <v>7310.838758758225</v>
          </cell>
          <cell r="O152">
            <v>8191.415976199691</v>
          </cell>
          <cell r="P152">
            <v>9010.55757381966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</v>
          </cell>
          <cell r="H153">
            <v>1.15</v>
          </cell>
          <cell r="I153">
            <v>5783.1867</v>
          </cell>
          <cell r="J153">
            <v>6274.7575695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9713.247011609907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6010.200000000001</v>
          </cell>
          <cell r="H154">
            <v>1.15</v>
          </cell>
          <cell r="I154">
            <v>6911.7300000000005</v>
          </cell>
          <cell r="J154">
            <v>7499.22705</v>
          </cell>
          <cell r="K154">
            <v>9374.0338125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7148.641500000001</v>
          </cell>
          <cell r="H155">
            <v>1.15</v>
          </cell>
          <cell r="I155">
            <v>8220.937725</v>
          </cell>
          <cell r="J155">
            <v>8919.717431625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1.15</v>
          </cell>
          <cell r="I156">
            <v>431.59499999999997</v>
          </cell>
          <cell r="J156">
            <v>468.28057499999994</v>
          </cell>
          <cell r="K156">
            <v>585.3507187499999</v>
          </cell>
          <cell r="L156">
            <v>2</v>
          </cell>
          <cell r="M156">
            <v>650.3896874999999</v>
          </cell>
          <cell r="N156">
            <v>682.909171875</v>
          </cell>
          <cell r="O156">
            <v>765.164338235294</v>
          </cell>
          <cell r="P156">
            <v>841.6807720588235</v>
          </cell>
          <cell r="Q156">
            <v>3</v>
          </cell>
          <cell r="R156">
            <v>956.4554227941176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1.15</v>
          </cell>
          <cell r="I157">
            <v>431.59499999999997</v>
          </cell>
          <cell r="J157">
            <v>468.28057499999994</v>
          </cell>
          <cell r="K157">
            <v>585.3507187499999</v>
          </cell>
          <cell r="L157">
            <v>2</v>
          </cell>
          <cell r="M157">
            <v>650.3896874999999</v>
          </cell>
          <cell r="N157">
            <v>682.909171875</v>
          </cell>
          <cell r="O157">
            <v>765.164338235294</v>
          </cell>
          <cell r="P157">
            <v>841.6807720588235</v>
          </cell>
          <cell r="Q157">
            <v>3</v>
          </cell>
          <cell r="R157">
            <v>956.4554227941176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1.15</v>
          </cell>
          <cell r="I158">
            <v>431.59499999999997</v>
          </cell>
          <cell r="J158">
            <v>468.28057499999994</v>
          </cell>
          <cell r="K158">
            <v>585.3507187499999</v>
          </cell>
          <cell r="L158">
            <v>3</v>
          </cell>
          <cell r="M158">
            <v>688.6479044117647</v>
          </cell>
          <cell r="N158">
            <v>723.080299632353</v>
          </cell>
          <cell r="O158">
            <v>810.1740051903114</v>
          </cell>
          <cell r="P158">
            <v>891.1914057093426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1.15</v>
          </cell>
          <cell r="I159">
            <v>431.59499999999997</v>
          </cell>
          <cell r="J159">
            <v>468.28057499999994</v>
          </cell>
          <cell r="K159">
            <v>585.3507187499999</v>
          </cell>
          <cell r="L159">
            <v>3</v>
          </cell>
          <cell r="M159">
            <v>688.6479044117647</v>
          </cell>
          <cell r="N159">
            <v>723.080299632353</v>
          </cell>
          <cell r="O159">
            <v>810.1740051903114</v>
          </cell>
          <cell r="P159">
            <v>891.1914057093426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1.15</v>
          </cell>
          <cell r="I160">
            <v>431.59499999999997</v>
          </cell>
          <cell r="J160">
            <v>468.28057499999994</v>
          </cell>
          <cell r="K160">
            <v>585.3507187499999</v>
          </cell>
          <cell r="L160">
            <v>3</v>
          </cell>
          <cell r="M160">
            <v>688.6479044117647</v>
          </cell>
          <cell r="N160">
            <v>723.080299632353</v>
          </cell>
          <cell r="O160">
            <v>810.1740051903114</v>
          </cell>
          <cell r="P160">
            <v>891.1914057093426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</v>
          </cell>
          <cell r="H161">
            <v>1.15</v>
          </cell>
          <cell r="I161">
            <v>1343.62665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2126.00925140625</v>
          </cell>
          <cell r="O161">
            <v>2382.083194852941</v>
          </cell>
          <cell r="P161">
            <v>2620.291514338235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</v>
          </cell>
          <cell r="G162">
            <v>10.395000000000001</v>
          </cell>
          <cell r="H162">
            <v>1.15</v>
          </cell>
          <cell r="I162">
            <v>11.95425</v>
          </cell>
          <cell r="J162">
            <v>12.97036125</v>
          </cell>
          <cell r="K162">
            <v>16.2129515625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1.15</v>
          </cell>
          <cell r="I163">
            <v>34.155</v>
          </cell>
          <cell r="J163">
            <v>37.058175</v>
          </cell>
          <cell r="K163">
            <v>46.32271874999999</v>
          </cell>
          <cell r="L163">
            <v>2</v>
          </cell>
          <cell r="M163">
            <v>51.46968749999999</v>
          </cell>
          <cell r="N163">
            <v>54.04317187499999</v>
          </cell>
          <cell r="O163">
            <v>60.55257352941176</v>
          </cell>
          <cell r="P163">
            <v>66.60783088235294</v>
          </cell>
          <cell r="Q163">
            <v>3</v>
          </cell>
          <cell r="R163">
            <v>75.6907169117647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</v>
          </cell>
          <cell r="H164">
            <v>1.15</v>
          </cell>
          <cell r="I164">
            <v>3.2132868749999997</v>
          </cell>
          <cell r="J164">
            <v>3.4864162593749994</v>
          </cell>
          <cell r="K164">
            <v>4.358020324218749</v>
          </cell>
          <cell r="L164">
            <v>2</v>
          </cell>
          <cell r="M164">
            <v>4.842244804687499</v>
          </cell>
          <cell r="N164">
            <v>5.084357044921874</v>
          </cell>
          <cell r="O164">
            <v>5.6967585937499985</v>
          </cell>
          <cell r="P164">
            <v>6.266434453124999</v>
          </cell>
          <cell r="Q164">
            <v>3</v>
          </cell>
          <cell r="R164">
            <v>7.120948242187498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800.8000000000001</v>
          </cell>
          <cell r="G165">
            <v>1081.0800000000002</v>
          </cell>
          <cell r="H165">
            <v>1.15</v>
          </cell>
          <cell r="I165">
            <v>1243.2420000000002</v>
          </cell>
          <cell r="J165">
            <v>1348.91757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1814.1705</v>
          </cell>
          <cell r="H166">
            <v>1.15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</v>
          </cell>
          <cell r="G167">
            <v>314.81599050000005</v>
          </cell>
          <cell r="H167">
            <v>1.15</v>
          </cell>
          <cell r="I167">
            <v>362.03838907500005</v>
          </cell>
          <cell r="J167">
            <v>392.811652146375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</v>
          </cell>
          <cell r="O167">
            <v>641.8491048143383</v>
          </cell>
          <cell r="P167">
            <v>706.0340152957722</v>
          </cell>
          <cell r="Q167">
            <v>3</v>
          </cell>
          <cell r="R167">
            <v>802.3113810179228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441.0450000000001</v>
          </cell>
          <cell r="H168">
            <v>1.15</v>
          </cell>
          <cell r="I168">
            <v>507.20175000000006</v>
          </cell>
          <cell r="J168">
            <v>550.31389875</v>
          </cell>
          <cell r="K168">
            <v>687.8923734374999</v>
          </cell>
          <cell r="L168">
            <v>2</v>
          </cell>
          <cell r="M168">
            <v>764.324859375</v>
          </cell>
          <cell r="N168">
            <v>802.54110234375</v>
          </cell>
          <cell r="O168">
            <v>899.2057169117647</v>
          </cell>
          <cell r="P168">
            <v>989.1262886029413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1.15</v>
          </cell>
          <cell r="I169">
            <v>193.754313225</v>
          </cell>
          <cell r="J169">
            <v>210.223429849125</v>
          </cell>
          <cell r="K169">
            <v>262.7792873114062</v>
          </cell>
          <cell r="L169">
            <v>2</v>
          </cell>
          <cell r="M169">
            <v>291.97698590156244</v>
          </cell>
          <cell r="N169">
            <v>306.5758351966406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429.3779204434742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</v>
          </cell>
          <cell r="H170">
            <v>1.15</v>
          </cell>
          <cell r="I170">
            <v>6164.2478249999995</v>
          </cell>
          <cell r="J170">
            <v>6688.208890124999</v>
          </cell>
          <cell r="K170">
            <v>8360.261112656248</v>
          </cell>
          <cell r="L170">
            <v>2</v>
          </cell>
          <cell r="M170">
            <v>9289.179014062498</v>
          </cell>
          <cell r="N170">
            <v>9753.637964765623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13660.55737362132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1.15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1.15</v>
          </cell>
          <cell r="I172">
            <v>120.062199375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1.15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4328.600718750001</v>
          </cell>
          <cell r="N173">
            <v>4545.030754687501</v>
          </cell>
          <cell r="O173">
            <v>5092.471433823531</v>
          </cell>
          <cell r="P173">
            <v>5601.718577205885</v>
          </cell>
          <cell r="Q173">
            <v>3</v>
          </cell>
          <cell r="R173">
            <v>6365.589292279413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</v>
          </cell>
          <cell r="H174">
            <v>1.15</v>
          </cell>
          <cell r="I174">
            <v>729.2092500000001</v>
          </cell>
          <cell r="J174">
            <v>791.1920362500001</v>
          </cell>
          <cell r="K174">
            <v>988.9900453125001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1.15</v>
          </cell>
          <cell r="I175">
            <v>1463.9919750000001</v>
          </cell>
          <cell r="J175">
            <v>1588.431292875</v>
          </cell>
          <cell r="K175">
            <v>1985.53911609375</v>
          </cell>
          <cell r="L175">
            <v>2</v>
          </cell>
          <cell r="M175">
            <v>2206.1545734375</v>
          </cell>
          <cell r="N175">
            <v>2316.462302109375</v>
          </cell>
          <cell r="O175">
            <v>2595.47596875</v>
          </cell>
          <cell r="P175">
            <v>2855.023565625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1.15</v>
          </cell>
          <cell r="I176">
            <v>2159.077275</v>
          </cell>
          <cell r="J176">
            <v>2342.598843375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4784.719859834558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1.15</v>
          </cell>
          <cell r="I177">
            <v>2848.5270000000005</v>
          </cell>
          <cell r="J177">
            <v>3090.651795</v>
          </cell>
          <cell r="K177">
            <v>3863.31474375</v>
          </cell>
          <cell r="L177">
            <v>2</v>
          </cell>
          <cell r="M177">
            <v>4292.5719375</v>
          </cell>
          <cell r="N177">
            <v>4507.200534375</v>
          </cell>
          <cell r="O177">
            <v>5050.084632352941</v>
          </cell>
          <cell r="P177">
            <v>5555.093095588236</v>
          </cell>
          <cell r="Q177">
            <v>3</v>
          </cell>
          <cell r="R177">
            <v>6312.605790441176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1.15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</v>
          </cell>
          <cell r="N178">
            <v>4220.01538924711</v>
          </cell>
          <cell r="O178">
            <v>4728.308559380515</v>
          </cell>
          <cell r="P178">
            <v>5201.139415318567</v>
          </cell>
          <cell r="Q178">
            <v>3</v>
          </cell>
          <cell r="R178">
            <v>5910.385699225644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</v>
          </cell>
          <cell r="G179">
            <v>1676.9754540000001</v>
          </cell>
          <cell r="H179">
            <v>1.15</v>
          </cell>
          <cell r="I179">
            <v>1928.5217721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</v>
          </cell>
          <cell r="G180">
            <v>1211.6711970000003</v>
          </cell>
          <cell r="H180">
            <v>1.15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</v>
          </cell>
          <cell r="P180">
            <v>2574.3792719232592</v>
          </cell>
          <cell r="Q180">
            <v>3</v>
          </cell>
          <cell r="R180">
            <v>2925.430990821885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1.15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3115.812345394738</v>
          </cell>
          <cell r="N181">
            <v>3271.602962664475</v>
          </cell>
          <cell r="O181">
            <v>3665.6615828173385</v>
          </cell>
          <cell r="P181">
            <v>4032.227741099073</v>
          </cell>
          <cell r="Q181">
            <v>3</v>
          </cell>
          <cell r="R181">
            <v>4582.076978521673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1.15</v>
          </cell>
          <cell r="I182">
            <v>2223.4905000000003</v>
          </cell>
          <cell r="J182">
            <v>2412.4871925</v>
          </cell>
          <cell r="K182">
            <v>3015.608990625</v>
          </cell>
          <cell r="L182">
            <v>1</v>
          </cell>
          <cell r="M182">
            <v>3174.325253289474</v>
          </cell>
          <cell r="N182">
            <v>3333.041515953948</v>
          </cell>
          <cell r="O182">
            <v>3734.5002979876167</v>
          </cell>
          <cell r="P182">
            <v>4107.950327786379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1.15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</v>
          </cell>
          <cell r="P183">
            <v>3.0276286764705875</v>
          </cell>
          <cell r="Q183">
            <v>3</v>
          </cell>
          <cell r="R183">
            <v>3.44048713235294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</v>
          </cell>
          <cell r="H184">
            <v>1.15</v>
          </cell>
          <cell r="I184">
            <v>0.3726</v>
          </cell>
          <cell r="J184">
            <v>0.404271</v>
          </cell>
          <cell r="K184">
            <v>0.50533875</v>
          </cell>
          <cell r="L184">
            <v>2</v>
          </cell>
          <cell r="M184">
            <v>0.5614874999999999</v>
          </cell>
          <cell r="N184">
            <v>0.5895618749999999</v>
          </cell>
          <cell r="O184">
            <v>0.6605735294117646</v>
          </cell>
          <cell r="P184">
            <v>0.7266308823529412</v>
          </cell>
          <cell r="Q184">
            <v>3</v>
          </cell>
          <cell r="R184">
            <v>0.8257169117647057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56.43000000000001</v>
          </cell>
          <cell r="H185">
            <v>1.15</v>
          </cell>
          <cell r="I185">
            <v>64.89450000000001</v>
          </cell>
          <cell r="J185">
            <v>70.4105325</v>
          </cell>
          <cell r="K185">
            <v>88.013165625</v>
          </cell>
          <cell r="L185">
            <v>2</v>
          </cell>
          <cell r="M185">
            <v>97.79240625</v>
          </cell>
          <cell r="N185">
            <v>102.6820265625</v>
          </cell>
          <cell r="O185">
            <v>115.04988970588235</v>
          </cell>
          <cell r="P185">
            <v>126.5548786764706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1.15</v>
          </cell>
          <cell r="I186">
            <v>68.31</v>
          </cell>
          <cell r="J186">
            <v>74.11635</v>
          </cell>
          <cell r="K186">
            <v>92.64543749999999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151.3814338235294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</v>
          </cell>
          <cell r="G187">
            <v>1084.0500000000002</v>
          </cell>
          <cell r="H187">
            <v>1.15</v>
          </cell>
          <cell r="I187">
            <v>1246.6575</v>
          </cell>
          <cell r="J187">
            <v>1271.59065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2151.095294117648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>Aplicador con cepillo (DIPPER,THRIFTYMAX  )</v>
          </cell>
          <cell r="E188">
            <v>1</v>
          </cell>
          <cell r="F188">
            <v>70.4</v>
          </cell>
          <cell r="G188">
            <v>95.04000000000002</v>
          </cell>
          <cell r="H188">
            <v>1.15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</v>
          </cell>
          <cell r="O188">
            <v>183.56990712074307</v>
          </cell>
          <cell r="P188">
            <v>201.9268978328174</v>
          </cell>
          <cell r="Q188">
            <v>3</v>
          </cell>
          <cell r="R188">
            <v>229.4623839009288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1.15</v>
          </cell>
          <cell r="I189">
            <v>65.205</v>
          </cell>
          <cell r="J189">
            <v>70.74742499999999</v>
          </cell>
          <cell r="K189">
            <v>88.43428124999998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1.15</v>
          </cell>
          <cell r="I190">
            <v>295.098579</v>
          </cell>
          <cell r="J190">
            <v>320.18195821499995</v>
          </cell>
          <cell r="K190">
            <v>400.2274477687499</v>
          </cell>
          <cell r="L190">
            <v>1</v>
          </cell>
          <cell r="M190">
            <v>421.2920502828947</v>
          </cell>
          <cell r="N190">
            <v>442.3566527970395</v>
          </cell>
          <cell r="O190">
            <v>495.6377062151703</v>
          </cell>
          <cell r="P190">
            <v>545.2014768366873</v>
          </cell>
          <cell r="Q190">
            <v>4</v>
          </cell>
          <cell r="R190">
            <v>660.8502749535604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1.15</v>
          </cell>
          <cell r="I191">
            <v>52.785000000000004</v>
          </cell>
          <cell r="J191">
            <v>57.271725</v>
          </cell>
          <cell r="K191">
            <v>71.58965625</v>
          </cell>
          <cell r="L191">
            <v>2</v>
          </cell>
          <cell r="M191">
            <v>79.54406250000001</v>
          </cell>
          <cell r="N191">
            <v>83.52126562500001</v>
          </cell>
          <cell r="O191">
            <v>93.58125000000001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</v>
          </cell>
          <cell r="H192">
            <v>1.15</v>
          </cell>
          <cell r="I192">
            <v>268.7020425</v>
          </cell>
          <cell r="J192">
            <v>291.5417161125</v>
          </cell>
          <cell r="K192">
            <v>364.427145140625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</v>
          </cell>
          <cell r="Q192">
            <v>5</v>
          </cell>
          <cell r="R192">
            <v>680.53621875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1.15</v>
          </cell>
          <cell r="I193">
            <v>93.14999999999999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140.371875</v>
          </cell>
          <cell r="N193">
            <v>147.39046875</v>
          </cell>
          <cell r="O193">
            <v>165.14338235294116</v>
          </cell>
          <cell r="P193">
            <v>181.6577205882353</v>
          </cell>
          <cell r="Q193">
            <v>5</v>
          </cell>
          <cell r="R193">
            <v>235.9191176470588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1.15</v>
          </cell>
          <cell r="I194">
            <v>437.805</v>
          </cell>
          <cell r="J194">
            <v>475.018425</v>
          </cell>
          <cell r="K194">
            <v>593.7730312499999</v>
          </cell>
          <cell r="L194">
            <v>2</v>
          </cell>
          <cell r="M194">
            <v>659.7478124999999</v>
          </cell>
          <cell r="N194">
            <v>692.7352031249999</v>
          </cell>
          <cell r="O194">
            <v>776.1738970588234</v>
          </cell>
          <cell r="P194">
            <v>853.7912867647058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1.15</v>
          </cell>
          <cell r="I195">
            <v>104.0175</v>
          </cell>
          <cell r="J195">
            <v>112.8589875</v>
          </cell>
          <cell r="K195">
            <v>141.073734375</v>
          </cell>
          <cell r="L195">
            <v>3</v>
          </cell>
          <cell r="M195">
            <v>165.96909926470587</v>
          </cell>
          <cell r="N195">
            <v>174.2675542279412</v>
          </cell>
          <cell r="O195">
            <v>195.25776384083045</v>
          </cell>
          <cell r="P195">
            <v>214.7835402249135</v>
          </cell>
          <cell r="Q195">
            <v>4</v>
          </cell>
          <cell r="R195">
            <v>260.3436851211073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</v>
          </cell>
          <cell r="H196">
            <v>1.15</v>
          </cell>
          <cell r="I196">
            <v>343.1025</v>
          </cell>
          <cell r="J196">
            <v>372.2662125</v>
          </cell>
          <cell r="K196">
            <v>465.332765625</v>
          </cell>
          <cell r="L196">
            <v>2</v>
          </cell>
          <cell r="M196">
            <v>517.0364062499999</v>
          </cell>
          <cell r="N196">
            <v>542.8882265624999</v>
          </cell>
          <cell r="O196">
            <v>608.2781249999999</v>
          </cell>
          <cell r="P196">
            <v>669.1059375</v>
          </cell>
          <cell r="Q196">
            <v>4</v>
          </cell>
          <cell r="R196">
            <v>811.0374999999999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1.15</v>
          </cell>
          <cell r="I197">
            <v>5.1232500000000005</v>
          </cell>
          <cell r="J197">
            <v>5.55872625</v>
          </cell>
          <cell r="K197">
            <v>6.9484078125</v>
          </cell>
          <cell r="L197">
            <v>2</v>
          </cell>
          <cell r="M197">
            <v>7.720453125</v>
          </cell>
          <cell r="N197">
            <v>8.10647578125</v>
          </cell>
          <cell r="O197">
            <v>9.082886029411764</v>
          </cell>
          <cell r="P197">
            <v>9.99117463235294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1.15</v>
          </cell>
          <cell r="I198">
            <v>2915.1292500000004</v>
          </cell>
          <cell r="J198">
            <v>3162.9152362500004</v>
          </cell>
          <cell r="K198">
            <v>3953.6440453125</v>
          </cell>
          <cell r="L198">
            <v>2</v>
          </cell>
          <cell r="M198">
            <v>4392.937828125</v>
          </cell>
          <cell r="N198">
            <v>4612.58471953125</v>
          </cell>
          <cell r="O198">
            <v>5168.162150735295</v>
          </cell>
          <cell r="P198">
            <v>5684.9783658088245</v>
          </cell>
          <cell r="Q198">
            <v>3</v>
          </cell>
          <cell r="R198">
            <v>6460.202688419118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2073.50938125</v>
          </cell>
          <cell r="H199">
            <v>1.15</v>
          </cell>
          <cell r="I199">
            <v>2384.5357884375</v>
          </cell>
          <cell r="J199">
            <v>2587.221330454687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3773.031106913085</v>
          </cell>
          <cell r="O199">
            <v>4227.485834076286</v>
          </cell>
          <cell r="P199">
            <v>4650.2344174839145</v>
          </cell>
          <cell r="Q199">
            <v>3</v>
          </cell>
          <cell r="R199">
            <v>5284.357292595357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1.15</v>
          </cell>
          <cell r="I200">
            <v>288.004275</v>
          </cell>
          <cell r="J200">
            <v>312.484638375</v>
          </cell>
          <cell r="K200">
            <v>390.6057979687499</v>
          </cell>
          <cell r="L200">
            <v>2</v>
          </cell>
          <cell r="M200">
            <v>434.0064421874999</v>
          </cell>
          <cell r="N200">
            <v>455.7067642968749</v>
          </cell>
          <cell r="O200">
            <v>510.5958143382352</v>
          </cell>
          <cell r="P200">
            <v>561.6553957720588</v>
          </cell>
          <cell r="Q200">
            <v>3</v>
          </cell>
          <cell r="R200">
            <v>638.2447679227939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927.531</v>
          </cell>
          <cell r="H201">
            <v>1.15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1.15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</v>
          </cell>
          <cell r="N202">
            <v>33.77698242187499</v>
          </cell>
          <cell r="O202">
            <v>37.84535845588234</v>
          </cell>
          <cell r="P202">
            <v>41.62989430147058</v>
          </cell>
          <cell r="Q202">
            <v>3</v>
          </cell>
          <cell r="R202">
            <v>47.30669806985292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</v>
          </cell>
          <cell r="H203">
            <v>1.15</v>
          </cell>
          <cell r="I203">
            <v>44.448074999999996</v>
          </cell>
          <cell r="J203">
            <v>48.226161375</v>
          </cell>
          <cell r="K203">
            <v>60.28270171874999</v>
          </cell>
          <cell r="L203">
            <v>2</v>
          </cell>
          <cell r="M203">
            <v>66.98077968749999</v>
          </cell>
          <cell r="N203">
            <v>70.32981867187499</v>
          </cell>
          <cell r="O203">
            <v>78.80091727941175</v>
          </cell>
          <cell r="P203">
            <v>86.68100900735293</v>
          </cell>
          <cell r="Q203">
            <v>3</v>
          </cell>
          <cell r="R203">
            <v>98.50114659926469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97.2675</v>
          </cell>
          <cell r="H204">
            <v>1.15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176.991387890625</v>
          </cell>
          <cell r="O204">
            <v>198.30967830882352</v>
          </cell>
          <cell r="P204">
            <v>218.1406461397059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1.15</v>
          </cell>
          <cell r="I205">
            <v>237.5325</v>
          </cell>
          <cell r="J205">
            <v>257.7227625</v>
          </cell>
          <cell r="K205">
            <v>322.15345312499994</v>
          </cell>
          <cell r="L205">
            <v>2</v>
          </cell>
          <cell r="M205">
            <v>357.9482812499999</v>
          </cell>
          <cell r="N205">
            <v>375.8456953124999</v>
          </cell>
          <cell r="O205">
            <v>421.1156249999999</v>
          </cell>
          <cell r="P205">
            <v>463.22718749999996</v>
          </cell>
          <cell r="Q205">
            <v>3</v>
          </cell>
          <cell r="R205">
            <v>526.3945312499999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1.15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</v>
          </cell>
          <cell r="O206">
            <v>41.45098897058824</v>
          </cell>
          <cell r="P206">
            <v>45.59608786764707</v>
          </cell>
          <cell r="Q206">
            <v>3</v>
          </cell>
          <cell r="R206">
            <v>51.8137362132353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1.15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27.52389705882352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62.61300000000001</v>
          </cell>
          <cell r="H208">
            <v>1.15</v>
          </cell>
          <cell r="I208">
            <v>72.00495000000001</v>
          </cell>
          <cell r="J208">
            <v>78.12537075</v>
          </cell>
          <cell r="K208">
            <v>97.6567134375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1.15</v>
          </cell>
          <cell r="I209">
            <v>3386.0025</v>
          </cell>
          <cell r="J209">
            <v>3673.8127125</v>
          </cell>
          <cell r="K209">
            <v>4592.265890625</v>
          </cell>
          <cell r="L209">
            <v>2</v>
          </cell>
          <cell r="M209">
            <v>5102.51765625</v>
          </cell>
          <cell r="N209">
            <v>5357.6435390625</v>
          </cell>
          <cell r="O209">
            <v>6002.961948529412</v>
          </cell>
          <cell r="P209">
            <v>6603.258143382354</v>
          </cell>
          <cell r="Q209">
            <v>3</v>
          </cell>
          <cell r="R209">
            <v>7503.702435661765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1.15</v>
          </cell>
          <cell r="I210">
            <v>3479.1525</v>
          </cell>
          <cell r="J210">
            <v>3774.8804625000002</v>
          </cell>
          <cell r="K210">
            <v>4718.600578125</v>
          </cell>
          <cell r="L210">
            <v>2</v>
          </cell>
          <cell r="M210">
            <v>5242.88953125</v>
          </cell>
          <cell r="N210">
            <v>5505.0340078125</v>
          </cell>
          <cell r="O210">
            <v>6168.105330882353</v>
          </cell>
          <cell r="P210">
            <v>6784.915863970589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92.29950000000001</v>
          </cell>
          <cell r="H211">
            <v>1.15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206.9989726102941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</v>
          </cell>
          <cell r="H212">
            <v>1.15</v>
          </cell>
          <cell r="I212">
            <v>401.32125</v>
          </cell>
          <cell r="J212">
            <v>435.43355625</v>
          </cell>
          <cell r="K212">
            <v>544.2919453124999</v>
          </cell>
          <cell r="L212">
            <v>4</v>
          </cell>
          <cell r="M212">
            <v>680.3649316406248</v>
          </cell>
          <cell r="N212">
            <v>714.383178222656</v>
          </cell>
          <cell r="O212">
            <v>800.4293313419116</v>
          </cell>
          <cell r="P212">
            <v>880.4722644761029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71.28000000000002</v>
          </cell>
          <cell r="H213">
            <v>1.15</v>
          </cell>
          <cell r="I213">
            <v>81.97200000000001</v>
          </cell>
          <cell r="J213">
            <v>88.93962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129.7036125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1.15</v>
          </cell>
          <cell r="I214">
            <v>512.325</v>
          </cell>
          <cell r="J214">
            <v>555.8726250000001</v>
          </cell>
          <cell r="K214">
            <v>694.8407812500001</v>
          </cell>
          <cell r="L214">
            <v>2</v>
          </cell>
          <cell r="M214">
            <v>772.0453125</v>
          </cell>
          <cell r="N214">
            <v>810.6475781250001</v>
          </cell>
          <cell r="O214">
            <v>908.2886029411766</v>
          </cell>
          <cell r="P214">
            <v>999.1174632352943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</v>
          </cell>
          <cell r="H215">
            <v>1.15</v>
          </cell>
          <cell r="I215">
            <v>555.0187500000001</v>
          </cell>
          <cell r="J215">
            <v>602.19534375</v>
          </cell>
          <cell r="K215">
            <v>752.7441796874999</v>
          </cell>
          <cell r="L215">
            <v>2</v>
          </cell>
          <cell r="M215">
            <v>836.3824218749999</v>
          </cell>
          <cell r="N215">
            <v>878.2015429687499</v>
          </cell>
          <cell r="O215">
            <v>983.979319852941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1.15</v>
          </cell>
          <cell r="I216">
            <v>3586.2749999999996</v>
          </cell>
          <cell r="J216">
            <v>3891.1083749999993</v>
          </cell>
          <cell r="K216">
            <v>4863.885468749999</v>
          </cell>
          <cell r="L216">
            <v>2</v>
          </cell>
          <cell r="M216">
            <v>5404.317187499999</v>
          </cell>
          <cell r="N216">
            <v>5674.533046874999</v>
          </cell>
          <cell r="O216">
            <v>6358.020220588234</v>
          </cell>
          <cell r="P216">
            <v>6993.822242647058</v>
          </cell>
          <cell r="Q216">
            <v>3</v>
          </cell>
          <cell r="R216">
            <v>7947.525275735293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1.15</v>
          </cell>
          <cell r="I217">
            <v>3586.2749999999996</v>
          </cell>
          <cell r="J217">
            <v>3891.1083749999993</v>
          </cell>
          <cell r="K217">
            <v>4863.885468749999</v>
          </cell>
          <cell r="L217">
            <v>1</v>
          </cell>
          <cell r="M217">
            <v>5119.879440789473</v>
          </cell>
          <cell r="N217">
            <v>5375.873412828947</v>
          </cell>
          <cell r="O217">
            <v>6023.3875773993805</v>
          </cell>
          <cell r="P217">
            <v>6625.726335139319</v>
          </cell>
          <cell r="Q217">
            <v>3</v>
          </cell>
          <cell r="R217">
            <v>7529.234471749225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1.15</v>
          </cell>
          <cell r="I218">
            <v>3996.1349999999998</v>
          </cell>
          <cell r="J218">
            <v>4335.806474999999</v>
          </cell>
          <cell r="K218">
            <v>5419.758093749999</v>
          </cell>
          <cell r="L218">
            <v>1</v>
          </cell>
          <cell r="M218">
            <v>5705.008519736841</v>
          </cell>
          <cell r="N218">
            <v>5990.258945723683</v>
          </cell>
          <cell r="O218">
            <v>6711.774729102166</v>
          </cell>
          <cell r="P218">
            <v>7382.952202012383</v>
          </cell>
          <cell r="Q218">
            <v>3</v>
          </cell>
          <cell r="R218">
            <v>8389.718411377708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1.15</v>
          </cell>
          <cell r="I219">
            <v>3996.1349999999998</v>
          </cell>
          <cell r="J219">
            <v>4335.806474999999</v>
          </cell>
          <cell r="K219">
            <v>5419.758093749999</v>
          </cell>
          <cell r="L219">
            <v>1</v>
          </cell>
          <cell r="M219">
            <v>5705.008519736841</v>
          </cell>
          <cell r="N219">
            <v>5990.258945723683</v>
          </cell>
          <cell r="O219">
            <v>6711.774729102166</v>
          </cell>
          <cell r="P219">
            <v>7382.952202012383</v>
          </cell>
          <cell r="Q219">
            <v>3</v>
          </cell>
          <cell r="R219">
            <v>8389.718411377708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290.3445</v>
          </cell>
          <cell r="H220">
            <v>1.15</v>
          </cell>
          <cell r="I220">
            <v>333.89617499999997</v>
          </cell>
          <cell r="J220">
            <v>362.27734987499997</v>
          </cell>
          <cell r="K220">
            <v>452.8466873437499</v>
          </cell>
          <cell r="L220">
            <v>2</v>
          </cell>
          <cell r="M220">
            <v>503.1629859374999</v>
          </cell>
          <cell r="N220">
            <v>528.3211352343749</v>
          </cell>
          <cell r="O220">
            <v>591.9564540441175</v>
          </cell>
          <cell r="P220">
            <v>651.1520994485294</v>
          </cell>
          <cell r="Q220">
            <v>3</v>
          </cell>
          <cell r="R220">
            <v>739.9455675551469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1.15</v>
          </cell>
          <cell r="I221">
            <v>238.5882</v>
          </cell>
          <cell r="J221">
            <v>258.868197</v>
          </cell>
          <cell r="K221">
            <v>323.58524625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422.9872500000001</v>
          </cell>
          <cell r="P221">
            <v>465.2859750000001</v>
          </cell>
          <cell r="Q221">
            <v>3</v>
          </cell>
          <cell r="R221">
            <v>528.7340625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1.15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36.90954595588236</v>
          </cell>
          <cell r="N222">
            <v>38.75502325367648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1.15</v>
          </cell>
          <cell r="I223">
            <v>51.061725</v>
          </cell>
          <cell r="J223">
            <v>55.401971625</v>
          </cell>
          <cell r="K223">
            <v>69.25246453125</v>
          </cell>
          <cell r="L223">
            <v>3</v>
          </cell>
          <cell r="M223">
            <v>81.47348768382354</v>
          </cell>
          <cell r="N223">
            <v>85.54716206801471</v>
          </cell>
          <cell r="O223">
            <v>95.85116198096887</v>
          </cell>
          <cell r="P223">
            <v>105.43627817906577</v>
          </cell>
          <cell r="Q223">
            <v>5</v>
          </cell>
          <cell r="R223">
            <v>136.9302314013841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1.15</v>
          </cell>
          <cell r="I224">
            <v>23.598000000000003</v>
          </cell>
          <cell r="J224">
            <v>25.603830000000002</v>
          </cell>
          <cell r="K224">
            <v>32.0047875</v>
          </cell>
          <cell r="L224">
            <v>2</v>
          </cell>
          <cell r="M224">
            <v>35.560874999999996</v>
          </cell>
          <cell r="N224">
            <v>37.33891875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</v>
          </cell>
          <cell r="J225">
            <v>45.9915225</v>
          </cell>
          <cell r="K225">
            <v>57.489403125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</v>
          </cell>
          <cell r="P225">
            <v>78.31373800309599</v>
          </cell>
          <cell r="Q225">
            <v>3</v>
          </cell>
          <cell r="R225">
            <v>88.99288409442725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</v>
          </cell>
          <cell r="J226">
            <v>47.3477725</v>
          </cell>
          <cell r="K226">
            <v>59.184715624999995</v>
          </cell>
          <cell r="L226">
            <v>1</v>
          </cell>
          <cell r="M226">
            <v>62.29970065789473</v>
          </cell>
          <cell r="N226">
            <v>65.41468569078947</v>
          </cell>
          <cell r="O226">
            <v>73.29376547987616</v>
          </cell>
          <cell r="P226">
            <v>80.62314202786378</v>
          </cell>
          <cell r="Q226">
            <v>2</v>
          </cell>
          <cell r="R226">
            <v>86.2279593880896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</v>
          </cell>
          <cell r="L227">
            <v>4</v>
          </cell>
          <cell r="M227">
            <v>52.700908203125</v>
          </cell>
          <cell r="N227">
            <v>55.335953613281255</v>
          </cell>
          <cell r="O227">
            <v>62.00106847426471</v>
          </cell>
          <cell r="P227">
            <v>68.2011753216912</v>
          </cell>
          <cell r="Q227">
            <v>5</v>
          </cell>
          <cell r="R227">
            <v>88.5729549632353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27.8845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43.16486068111455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23.41933867735471</v>
          </cell>
          <cell r="J229">
            <v>25.409982464929858</v>
          </cell>
          <cell r="K229">
            <v>31.76247808116232</v>
          </cell>
          <cell r="L229">
            <v>3</v>
          </cell>
          <cell r="M229">
            <v>37.36762127195567</v>
          </cell>
          <cell r="N229">
            <v>39.23600233555346</v>
          </cell>
          <cell r="O229">
            <v>43.96190737877138</v>
          </cell>
          <cell r="P229">
            <v>48.35809811664852</v>
          </cell>
          <cell r="Q229">
            <v>3</v>
          </cell>
          <cell r="R229">
            <v>54.95238422346422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28.01388625</v>
          </cell>
          <cell r="K231">
            <v>35.017357812499995</v>
          </cell>
          <cell r="L231">
            <v>2</v>
          </cell>
          <cell r="M231">
            <v>38.90817534722222</v>
          </cell>
          <cell r="N231">
            <v>40.853584114583334</v>
          </cell>
          <cell r="O231">
            <v>45.77432393790849</v>
          </cell>
          <cell r="P231">
            <v>50.35175633169934</v>
          </cell>
          <cell r="Q231">
            <v>5</v>
          </cell>
          <cell r="R231">
            <v>65.39189133986928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</v>
          </cell>
          <cell r="J232">
            <v>48.975272499999996</v>
          </cell>
          <cell r="K232">
            <v>61.21909062499999</v>
          </cell>
          <cell r="L232">
            <v>1</v>
          </cell>
          <cell r="M232">
            <v>64.44114802631579</v>
          </cell>
          <cell r="N232">
            <v>67.66320542763158</v>
          </cell>
          <cell r="O232">
            <v>75.8131153250774</v>
          </cell>
          <cell r="P232">
            <v>83.39442685758515</v>
          </cell>
          <cell r="Q232">
            <v>2</v>
          </cell>
          <cell r="R232">
            <v>89.191900382444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</v>
          </cell>
          <cell r="J233">
            <v>87.643045</v>
          </cell>
          <cell r="K233">
            <v>109.55380625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149.237383126935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32.58625000000001</v>
          </cell>
          <cell r="J234">
            <v>35.35608125000001</v>
          </cell>
          <cell r="K234">
            <v>44.19510156250001</v>
          </cell>
          <cell r="L234">
            <v>4</v>
          </cell>
          <cell r="M234">
            <v>55.243876953125</v>
          </cell>
          <cell r="N234">
            <v>58.00607080078125</v>
          </cell>
          <cell r="O234">
            <v>64.99279641544118</v>
          </cell>
          <cell r="P234">
            <v>71.4920760569853</v>
          </cell>
          <cell r="Q234">
            <v>5</v>
          </cell>
          <cell r="R234">
            <v>92.84685202205883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34.58625000000001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</v>
          </cell>
          <cell r="N235">
            <v>61.56622705078126</v>
          </cell>
          <cell r="O235">
            <v>68.98176700367648</v>
          </cell>
          <cell r="P235">
            <v>75.87994370404414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>JABON EN POLVO TIPO SKIP       </v>
          </cell>
          <cell r="E236">
            <v>10</v>
          </cell>
          <cell r="I236">
            <v>59</v>
          </cell>
          <cell r="J236">
            <v>0.6275980392156862</v>
          </cell>
          <cell r="K236">
            <v>0.7844975490196078</v>
          </cell>
          <cell r="L236">
            <v>1</v>
          </cell>
          <cell r="M236">
            <v>0.8257868937048504</v>
          </cell>
          <cell r="N236">
            <v>0.867076238390093</v>
          </cell>
          <cell r="O236">
            <v>0.9715139925939417</v>
          </cell>
          <cell r="P236">
            <v>1.068665391853336</v>
          </cell>
          <cell r="Q236">
            <v>3</v>
          </cell>
          <cell r="R236">
            <v>1.214392490742427</v>
          </cell>
        </row>
        <row r="237">
          <cell r="A237" t="str">
            <v>D00016</v>
          </cell>
          <cell r="C237" t="str">
            <v>GRUPO JAC</v>
          </cell>
          <cell r="D237" t="str">
            <v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</v>
          </cell>
          <cell r="L237">
            <v>2</v>
          </cell>
          <cell r="M237">
            <v>0.6943763616557733</v>
          </cell>
          <cell r="N237">
            <v>0.729095179738562</v>
          </cell>
          <cell r="O237">
            <v>0.816913366653851</v>
          </cell>
          <cell r="P237">
            <v>0.8986047033192361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0.2363834422657952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0.3476227092144047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</v>
          </cell>
          <cell r="P239">
            <v>0.2294309880815071</v>
          </cell>
          <cell r="Q239">
            <v>3</v>
          </cell>
          <cell r="R239">
            <v>0.2607170319108035</v>
          </cell>
        </row>
        <row r="240">
          <cell r="A240" t="str">
            <v>D00019</v>
          </cell>
          <cell r="C240" t="str">
            <v>GRUPO JAC</v>
          </cell>
          <cell r="D240" t="str">
            <v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0.2511574074074074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0.369349128540305</v>
          </cell>
        </row>
        <row r="241">
          <cell r="A241" t="str">
            <v>D00020</v>
          </cell>
          <cell r="C241" t="str">
            <v>GRUPO JAC</v>
          </cell>
          <cell r="D241" t="str">
            <v>SUAVISANTE </v>
          </cell>
          <cell r="E241">
            <v>4</v>
          </cell>
          <cell r="I241">
            <v>6.5</v>
          </cell>
          <cell r="J241">
            <v>0.0691421568627451</v>
          </cell>
          <cell r="K241">
            <v>0.08642769607843136</v>
          </cell>
          <cell r="L241">
            <v>2</v>
          </cell>
          <cell r="M241">
            <v>0.09603077342047928</v>
          </cell>
          <cell r="N241">
            <v>0.10083231209150324</v>
          </cell>
          <cell r="O241">
            <v>0.1129773804946815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0.07446078431372549</v>
          </cell>
          <cell r="K242">
            <v>0.09307598039215687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>LIMPIAVIDRIOS    </v>
          </cell>
          <cell r="E243">
            <v>4</v>
          </cell>
          <cell r="I243">
            <v>8.5</v>
          </cell>
          <cell r="J243">
            <v>0.09041666666666667</v>
          </cell>
          <cell r="K243">
            <v>0.11302083333333333</v>
          </cell>
          <cell r="L243">
            <v>2</v>
          </cell>
          <cell r="M243">
            <v>0.1255787037037037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>DESODORANTE DE PISO             </v>
          </cell>
          <cell r="E244">
            <v>4</v>
          </cell>
          <cell r="I244">
            <v>5.5</v>
          </cell>
          <cell r="J244">
            <v>0.058504901960784304</v>
          </cell>
          <cell r="K244">
            <v>0.07313112745098038</v>
          </cell>
          <cell r="L244">
            <v>2</v>
          </cell>
          <cell r="M244">
            <v>0.0812568082788671</v>
          </cell>
          <cell r="N244">
            <v>0.08531964869281046</v>
          </cell>
          <cell r="O244">
            <v>0.09559624503396129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0.2363834422657952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0.3476227092144047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343.24843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531.344318885449</v>
          </cell>
          <cell r="P246">
            <v>584.4787507739939</v>
          </cell>
          <cell r="Q246">
            <v>2</v>
          </cell>
          <cell r="R246">
            <v>625.1109633946459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1671.75715</v>
          </cell>
          <cell r="K247">
            <v>2089.6964375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431.7730375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534.7034520123839</v>
          </cell>
          <cell r="P248">
            <v>588.1737972136223</v>
          </cell>
          <cell r="Q248">
            <v>2</v>
          </cell>
          <cell r="R248">
            <v>629.0628847204516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2103.2589375</v>
          </cell>
          <cell r="L249">
            <v>1</v>
          </cell>
          <cell r="M249">
            <v>2213.9567763157893</v>
          </cell>
          <cell r="N249">
            <v>2324.654615131579</v>
          </cell>
          <cell r="O249">
            <v>2604.6550309597524</v>
          </cell>
          <cell r="P249">
            <v>2865.120534055728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</v>
          </cell>
          <cell r="J250">
            <v>648.2506099999999</v>
          </cell>
          <cell r="K250">
            <v>810.3132624999998</v>
          </cell>
          <cell r="L250">
            <v>1</v>
          </cell>
          <cell r="M250">
            <v>852.9613289473683</v>
          </cell>
          <cell r="N250">
            <v>895.6093953947368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</v>
          </cell>
          <cell r="N251">
            <v>4416.587437499999</v>
          </cell>
          <cell r="O251">
            <v>4948.557352941176</v>
          </cell>
          <cell r="P251">
            <v>5443.413088235294</v>
          </cell>
          <cell r="Q251">
            <v>2</v>
          </cell>
          <cell r="R251">
            <v>5821.832179930795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1.15</v>
          </cell>
          <cell r="I252">
            <v>402.0975</v>
          </cell>
          <cell r="J252">
            <v>436.27578750000004</v>
          </cell>
          <cell r="K252">
            <v>545.344734375</v>
          </cell>
          <cell r="L252">
            <v>2</v>
          </cell>
          <cell r="M252">
            <v>605.93859375</v>
          </cell>
          <cell r="N252">
            <v>636.2355234375</v>
          </cell>
          <cell r="O252">
            <v>712.8689338235295</v>
          </cell>
          <cell r="P252">
            <v>784.1558272058825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1.15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147.28875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</v>
          </cell>
          <cell r="K255">
            <v>864.9484375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</v>
          </cell>
          <cell r="K256">
            <v>415.4980375</v>
          </cell>
          <cell r="L256">
            <v>1</v>
          </cell>
          <cell r="M256">
            <v>437.3663552631579</v>
          </cell>
          <cell r="N256">
            <v>459.2346730263158</v>
          </cell>
          <cell r="O256">
            <v>514.548653250774</v>
          </cell>
          <cell r="P256">
            <v>566.0035185758514</v>
          </cell>
          <cell r="Q256">
            <v>3</v>
          </cell>
          <cell r="R256">
            <v>643.1858165634675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1617.50715</v>
          </cell>
          <cell r="K257">
            <v>2021.8839374999998</v>
          </cell>
          <cell r="L257">
            <v>1</v>
          </cell>
          <cell r="M257">
            <v>2128.298881578947</v>
          </cell>
          <cell r="N257">
            <v>2234.7138256578946</v>
          </cell>
          <cell r="O257">
            <v>2503.8810371517025</v>
          </cell>
          <cell r="P257">
            <v>2754.269140866873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</v>
          </cell>
          <cell r="K258">
            <v>292.868625</v>
          </cell>
          <cell r="L258">
            <v>4</v>
          </cell>
          <cell r="M258">
            <v>366.08578124999997</v>
          </cell>
          <cell r="N258">
            <v>384.3900703125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188.57734</v>
          </cell>
          <cell r="K260">
            <v>235.72167499999998</v>
          </cell>
          <cell r="L260">
            <v>2</v>
          </cell>
          <cell r="M260">
            <v>261.9129722222222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</v>
          </cell>
          <cell r="N262">
            <v>387.95022656250006</v>
          </cell>
          <cell r="O262">
            <v>434.678125</v>
          </cell>
          <cell r="P262">
            <v>478.14593750000006</v>
          </cell>
          <cell r="Q262">
            <v>5</v>
          </cell>
          <cell r="R262">
            <v>620.9687500000001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</v>
          </cell>
          <cell r="K263">
            <v>1415.518125</v>
          </cell>
          <cell r="L263">
            <v>4</v>
          </cell>
          <cell r="M263">
            <v>1769.39765625</v>
          </cell>
          <cell r="N263">
            <v>1857.8675390625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</v>
          </cell>
          <cell r="L264">
            <v>4</v>
          </cell>
          <cell r="M264">
            <v>372.86703125</v>
          </cell>
          <cell r="N264">
            <v>391.51038281250004</v>
          </cell>
          <cell r="O264">
            <v>438.6670955882353</v>
          </cell>
          <cell r="P264">
            <v>482.5338051470589</v>
          </cell>
          <cell r="Q264">
            <v>5</v>
          </cell>
          <cell r="R264">
            <v>626.6672794117648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</v>
          </cell>
          <cell r="Q265">
            <v>5</v>
          </cell>
          <cell r="R265">
            <v>3002.270220588235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26.65763625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41.1625265625</v>
          </cell>
          <cell r="O267">
            <v>46.12047794117647</v>
          </cell>
          <cell r="P267">
            <v>50.73252573529412</v>
          </cell>
          <cell r="Q267">
            <v>3</v>
          </cell>
          <cell r="R267">
            <v>57.65059742647058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</v>
          </cell>
          <cell r="P268">
            <v>338.23542214532876</v>
          </cell>
          <cell r="Q268">
            <v>3</v>
          </cell>
          <cell r="R268">
            <v>384.3584342560554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1303.469536764706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</v>
          </cell>
          <cell r="J270">
            <v>49.7890225</v>
          </cell>
          <cell r="K270">
            <v>62.236278125</v>
          </cell>
          <cell r="L270">
            <v>1</v>
          </cell>
          <cell r="M270">
            <v>65.51187171052632</v>
          </cell>
          <cell r="N270">
            <v>68.78746529605264</v>
          </cell>
          <cell r="O270">
            <v>77.07279024767803</v>
          </cell>
          <cell r="P270">
            <v>84.78006927244584</v>
          </cell>
          <cell r="Q270">
            <v>3</v>
          </cell>
          <cell r="R270">
            <v>96.34098780959754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336.73843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</v>
          </cell>
          <cell r="O271">
            <v>521.266919504644</v>
          </cell>
          <cell r="P271">
            <v>573.3936114551084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3325.892871732026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65.89554523340472</v>
          </cell>
          <cell r="K273">
            <v>82.36943154175589</v>
          </cell>
          <cell r="L273">
            <v>1</v>
          </cell>
          <cell r="M273">
            <v>86.70466478079567</v>
          </cell>
          <cell r="N273">
            <v>91.03989801983545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</v>
          </cell>
          <cell r="K274">
            <v>32.2109375</v>
          </cell>
          <cell r="L274">
            <v>2</v>
          </cell>
          <cell r="M274">
            <v>35.78993055555556</v>
          </cell>
          <cell r="N274">
            <v>37.579427083333336</v>
          </cell>
          <cell r="O274">
            <v>42.10580065359478</v>
          </cell>
          <cell r="P274">
            <v>46.31638071895426</v>
          </cell>
          <cell r="Q274">
            <v>4</v>
          </cell>
          <cell r="R274">
            <v>56.14106753812637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</v>
          </cell>
          <cell r="J275">
            <v>84.930545</v>
          </cell>
          <cell r="K275">
            <v>106.16318125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</v>
          </cell>
          <cell r="P275">
            <v>144.6185750773994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</v>
          </cell>
          <cell r="J276">
            <v>643.91061</v>
          </cell>
          <cell r="K276">
            <v>804.8882625</v>
          </cell>
          <cell r="L276">
            <v>1</v>
          </cell>
          <cell r="M276">
            <v>847.250802631579</v>
          </cell>
          <cell r="N276">
            <v>889.6133427631579</v>
          </cell>
          <cell r="O276">
            <v>996.7656501547988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3175.06805</v>
          </cell>
          <cell r="K277">
            <v>3968.8350625</v>
          </cell>
          <cell r="L277">
            <v>1</v>
          </cell>
          <cell r="M277">
            <v>4177.721118421053</v>
          </cell>
          <cell r="N277">
            <v>4386.607174342105</v>
          </cell>
          <cell r="O277">
            <v>4914.966021671827</v>
          </cell>
          <cell r="P277">
            <v>5406.46262383901</v>
          </cell>
          <cell r="Q277">
            <v>2</v>
          </cell>
          <cell r="R277">
            <v>5782.312966672737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37.54325259515571</v>
          </cell>
          <cell r="P278">
            <v>41.29757785467128</v>
          </cell>
          <cell r="Q278">
            <v>4</v>
          </cell>
          <cell r="R278">
            <v>50.05767012687428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50.21410034602076</v>
          </cell>
          <cell r="P279">
            <v>55.235510380622834</v>
          </cell>
          <cell r="Q279">
            <v>4</v>
          </cell>
          <cell r="R279">
            <v>66.95213379469435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296.6198529411765</v>
          </cell>
          <cell r="Q280">
            <v>3</v>
          </cell>
          <cell r="R280">
            <v>337.0680147058823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4.17725</v>
          </cell>
          <cell r="K281">
            <v>5.221562499999999</v>
          </cell>
          <cell r="L281">
            <v>1</v>
          </cell>
          <cell r="M281">
            <v>5.496381578947368</v>
          </cell>
          <cell r="N281">
            <v>5.771200657894736</v>
          </cell>
          <cell r="O281">
            <v>6.466331269349845</v>
          </cell>
          <cell r="P281">
            <v>7.11296439628483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</v>
          </cell>
          <cell r="P282">
            <v>27.80522445820434</v>
          </cell>
          <cell r="Q282">
            <v>3</v>
          </cell>
          <cell r="R282">
            <v>31.5968459752322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517.5342927631579</v>
          </cell>
          <cell r="O284">
            <v>579.8703560371516</v>
          </cell>
          <cell r="P284">
            <v>637.8573916408668</v>
          </cell>
          <cell r="Q284">
            <v>3</v>
          </cell>
          <cell r="R284">
            <v>724.8379450464395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879.7499999999999</v>
          </cell>
          <cell r="J285">
            <v>954.5287499999998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</v>
          </cell>
          <cell r="J286">
            <v>472.28751345610283</v>
          </cell>
          <cell r="K286">
            <v>590.3593918201285</v>
          </cell>
          <cell r="L286">
            <v>1</v>
          </cell>
          <cell r="M286">
            <v>621.43093875803</v>
          </cell>
          <cell r="N286">
            <v>652.5024856959316</v>
          </cell>
          <cell r="O286">
            <v>731.0952220682707</v>
          </cell>
          <cell r="P286">
            <v>804.2047442750978</v>
          </cell>
          <cell r="Q286">
            <v>4</v>
          </cell>
          <cell r="R286">
            <v>974.7936294243609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2316.952567280514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4782.151841652248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215.9828125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310.5635212418301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1266.22890625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210.76125</v>
          </cell>
          <cell r="K290">
            <v>263.45156249999997</v>
          </cell>
          <cell r="L290">
            <v>3</v>
          </cell>
          <cell r="M290">
            <v>309.9430147058823</v>
          </cell>
          <cell r="N290">
            <v>325.4401654411765</v>
          </cell>
          <cell r="O290">
            <v>364.6388408304498</v>
          </cell>
          <cell r="P290">
            <v>401.1027249134948</v>
          </cell>
          <cell r="Q290">
            <v>3</v>
          </cell>
          <cell r="R290">
            <v>455.7985510380622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1484.295955882353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</v>
          </cell>
          <cell r="J292">
            <v>89.541795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163.0701056273903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</v>
          </cell>
          <cell r="J293">
            <v>639.57061</v>
          </cell>
          <cell r="K293">
            <v>799.4632624999999</v>
          </cell>
          <cell r="L293">
            <v>1</v>
          </cell>
          <cell r="M293">
            <v>841.5402763157895</v>
          </cell>
          <cell r="N293">
            <v>883.617290131579</v>
          </cell>
          <cell r="O293">
            <v>990.0473839009288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3137.09305</v>
          </cell>
          <cell r="K294">
            <v>3921.3663125</v>
          </cell>
          <cell r="L294">
            <v>1</v>
          </cell>
          <cell r="M294">
            <v>4127.754013157894</v>
          </cell>
          <cell r="N294">
            <v>4334.141713815789</v>
          </cell>
          <cell r="O294">
            <v>4856.181191950464</v>
          </cell>
          <cell r="P294">
            <v>5341.799311145512</v>
          </cell>
          <cell r="Q294">
            <v>2</v>
          </cell>
          <cell r="R294">
            <v>5713.154343471135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30.39329656862745</v>
          </cell>
          <cell r="Q295">
            <v>2</v>
          </cell>
          <cell r="R295">
            <v>32.50619953863898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</v>
          </cell>
          <cell r="J296">
            <v>81.53775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142.6910625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</v>
          </cell>
          <cell r="K297">
            <v>386.1921875</v>
          </cell>
          <cell r="L297">
            <v>5</v>
          </cell>
          <cell r="M297">
            <v>514.9229166666667</v>
          </cell>
          <cell r="N297">
            <v>540.6690625</v>
          </cell>
          <cell r="O297">
            <v>605.7916666666666</v>
          </cell>
          <cell r="P297">
            <v>666.3708333333334</v>
          </cell>
          <cell r="Q297">
            <v>2</v>
          </cell>
          <cell r="R297">
            <v>712.6960784313725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</v>
          </cell>
          <cell r="K298">
            <v>9.0190625</v>
          </cell>
          <cell r="L298">
            <v>1</v>
          </cell>
          <cell r="M298">
            <v>9.49375</v>
          </cell>
          <cell r="N298">
            <v>9.9684375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</v>
          </cell>
          <cell r="K300">
            <v>847.9953125</v>
          </cell>
          <cell r="L300">
            <v>1</v>
          </cell>
          <cell r="M300">
            <v>892.6266447368421</v>
          </cell>
          <cell r="N300">
            <v>937.2579769736842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1.15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</v>
          </cell>
          <cell r="P301">
            <v>3.0276286764705875</v>
          </cell>
          <cell r="Q301">
            <v>3</v>
          </cell>
          <cell r="R301">
            <v>3.44048713235294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</v>
          </cell>
          <cell r="H302">
            <v>1.15</v>
          </cell>
          <cell r="I302">
            <v>105.57000000000001</v>
          </cell>
          <cell r="J302">
            <v>114.54345</v>
          </cell>
          <cell r="K302">
            <v>143.1793125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</v>
          </cell>
          <cell r="H303">
            <v>1.15</v>
          </cell>
          <cell r="I303">
            <v>524.58975</v>
          </cell>
          <cell r="J303">
            <v>569.17987875</v>
          </cell>
          <cell r="K303">
            <v>711.4748484374999</v>
          </cell>
          <cell r="L303">
            <v>2</v>
          </cell>
          <cell r="M303">
            <v>790.5276093749999</v>
          </cell>
          <cell r="N303">
            <v>830.05398984375</v>
          </cell>
          <cell r="O303">
            <v>930.0324816176469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1.15</v>
          </cell>
          <cell r="I304">
            <v>496.79999999999995</v>
          </cell>
          <cell r="J304">
            <v>539.0279999999999</v>
          </cell>
          <cell r="K304">
            <v>673.7849999999999</v>
          </cell>
          <cell r="L304">
            <v>2</v>
          </cell>
          <cell r="M304">
            <v>748.6499999999999</v>
          </cell>
          <cell r="N304">
            <v>786.0824999999999</v>
          </cell>
          <cell r="O304">
            <v>880.7647058823528</v>
          </cell>
          <cell r="P304">
            <v>968.8411764705882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1.15</v>
          </cell>
          <cell r="I305">
            <v>776.2499999999999</v>
          </cell>
          <cell r="J305">
            <v>842.2312499999998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</v>
          </cell>
          <cell r="H306">
            <v>1.15</v>
          </cell>
          <cell r="I306">
            <v>1086.75</v>
          </cell>
          <cell r="J306">
            <v>1179.12375</v>
          </cell>
          <cell r="K306">
            <v>1473.9046875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1.15</v>
          </cell>
          <cell r="I307">
            <v>0.201825</v>
          </cell>
          <cell r="J307">
            <v>0.218980125</v>
          </cell>
          <cell r="K307">
            <v>0.27372515625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0.3578106617647059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1.15</v>
          </cell>
          <cell r="I308">
            <v>25.34378625</v>
          </cell>
          <cell r="J308">
            <v>27.49800808125</v>
          </cell>
          <cell r="K308">
            <v>34.3725101015625</v>
          </cell>
          <cell r="L308">
            <v>2</v>
          </cell>
          <cell r="M308">
            <v>38.191677890624995</v>
          </cell>
          <cell r="N308">
            <v>40.10126178515625</v>
          </cell>
          <cell r="O308">
            <v>44.931385753676466</v>
          </cell>
          <cell r="P308">
            <v>49.42452432904412</v>
          </cell>
          <cell r="Q308">
            <v>3</v>
          </cell>
          <cell r="R308">
            <v>56.16423219209558</v>
          </cell>
        </row>
        <row r="309">
          <cell r="A309" t="str">
            <v>D225002</v>
          </cell>
          <cell r="D309" t="e">
            <v>#N/A</v>
          </cell>
          <cell r="F309">
            <v>17.299625</v>
          </cell>
          <cell r="G309">
            <v>23.35449375</v>
          </cell>
          <cell r="H309">
            <v>1.15</v>
          </cell>
          <cell r="I309">
            <v>26.857667812499997</v>
          </cell>
          <cell r="J309">
            <v>29.140569576562495</v>
          </cell>
          <cell r="K309">
            <v>36.42571197070312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</v>
          </cell>
          <cell r="P309">
            <v>52.3768407421875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1.15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1.269</v>
          </cell>
          <cell r="H311">
            <v>1.15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</v>
          </cell>
          <cell r="O311">
            <v>2.587246323529411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1.15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</v>
          </cell>
          <cell r="H313">
            <v>1.15</v>
          </cell>
          <cell r="I313">
            <v>4.44015</v>
          </cell>
          <cell r="J313">
            <v>4.81756275</v>
          </cell>
          <cell r="K313">
            <v>6.021953437499999</v>
          </cell>
          <cell r="L313">
            <v>2</v>
          </cell>
          <cell r="M313">
            <v>6.691059374999998</v>
          </cell>
          <cell r="N313">
            <v>7.025612343749999</v>
          </cell>
          <cell r="O313">
            <v>7.871834558823528</v>
          </cell>
          <cell r="P313">
            <v>8.65901801470588</v>
          </cell>
          <cell r="Q313">
            <v>3</v>
          </cell>
          <cell r="R313">
            <v>9.839793198529408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</v>
          </cell>
          <cell r="G314">
            <v>0.22275000000000003</v>
          </cell>
          <cell r="H314">
            <v>1.15</v>
          </cell>
          <cell r="I314">
            <v>0.2561625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0.4632271875000001</v>
          </cell>
          <cell r="O314">
            <v>0.5190220588235295</v>
          </cell>
          <cell r="P314">
            <v>0.5709242647058824</v>
          </cell>
          <cell r="Q314">
            <v>3</v>
          </cell>
          <cell r="R314">
            <v>0.6487775735294118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0.7290000000000001</v>
          </cell>
          <cell r="H315">
            <v>1.15</v>
          </cell>
          <cell r="I315">
            <v>0.83835</v>
          </cell>
          <cell r="J315">
            <v>0.90960975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0.9680000000000001</v>
          </cell>
          <cell r="G316">
            <v>1.3068000000000002</v>
          </cell>
          <cell r="H316">
            <v>1.15</v>
          </cell>
          <cell r="I316">
            <v>1.50282</v>
          </cell>
          <cell r="J316">
            <v>1.6305597</v>
          </cell>
          <cell r="K316">
            <v>2.329371</v>
          </cell>
          <cell r="L316">
            <v>2</v>
          </cell>
          <cell r="M316">
            <v>2.58819</v>
          </cell>
          <cell r="N316">
            <v>2.7175995</v>
          </cell>
          <cell r="O316">
            <v>3.044929411764706</v>
          </cell>
          <cell r="P316">
            <v>3.349422352941177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</v>
          </cell>
          <cell r="H317">
            <v>1.15</v>
          </cell>
          <cell r="I317">
            <v>56.992275</v>
          </cell>
          <cell r="J317">
            <v>61.836618375</v>
          </cell>
          <cell r="K317">
            <v>77.29577296875</v>
          </cell>
          <cell r="L317">
            <v>2</v>
          </cell>
          <cell r="M317">
            <v>85.8841921875</v>
          </cell>
          <cell r="N317">
            <v>90.17840179687501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</v>
          </cell>
          <cell r="H318">
            <v>1.15</v>
          </cell>
          <cell r="I318">
            <v>21.6108</v>
          </cell>
          <cell r="J318">
            <v>23.447718000000002</v>
          </cell>
          <cell r="K318">
            <v>29.3096475</v>
          </cell>
          <cell r="L318">
            <v>2</v>
          </cell>
          <cell r="M318">
            <v>32.566275</v>
          </cell>
          <cell r="N318">
            <v>34.19458875</v>
          </cell>
          <cell r="O318">
            <v>38.313264705882354</v>
          </cell>
          <cell r="P318">
            <v>42.14459117647059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18.819</v>
          </cell>
          <cell r="H319">
            <v>1.15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34.24371890624999</v>
          </cell>
          <cell r="O319">
            <v>38.36831249999999</v>
          </cell>
          <cell r="P319">
            <v>42.20514374999999</v>
          </cell>
          <cell r="Q319">
            <v>3</v>
          </cell>
          <cell r="R319">
            <v>47.96039062499998</v>
          </cell>
        </row>
        <row r="320">
          <cell r="A320" t="str">
            <v>D255691</v>
          </cell>
          <cell r="D320" t="str">
            <v>KIT GUIDE CORD</v>
          </cell>
          <cell r="F320">
            <v>9.29</v>
          </cell>
          <cell r="G320">
            <v>12.5415</v>
          </cell>
          <cell r="H320">
            <v>1.15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1.15</v>
          </cell>
          <cell r="I321">
            <v>46.574999999999996</v>
          </cell>
          <cell r="J321">
            <v>50.533874999999995</v>
          </cell>
          <cell r="K321">
            <v>63.16734374999999</v>
          </cell>
          <cell r="L321">
            <v>2</v>
          </cell>
          <cell r="M321">
            <v>70.1859375</v>
          </cell>
          <cell r="N321">
            <v>73.695234375</v>
          </cell>
          <cell r="O321">
            <v>82.57169117647058</v>
          </cell>
          <cell r="P321">
            <v>90.82886029411765</v>
          </cell>
          <cell r="Q321">
            <v>3</v>
          </cell>
          <cell r="R321">
            <v>103.21461397058822</v>
          </cell>
        </row>
        <row r="322">
          <cell r="A322" t="str">
            <v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1.15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</v>
          </cell>
          <cell r="P322">
            <v>622.7832187500001</v>
          </cell>
          <cell r="Q322">
            <v>3</v>
          </cell>
          <cell r="R322">
            <v>707.7082031250001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1.15</v>
          </cell>
          <cell r="I323">
            <v>17.23275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</v>
          </cell>
          <cell r="N323">
            <v>28.87119181985294</v>
          </cell>
          <cell r="O323">
            <v>32.348674307958476</v>
          </cell>
          <cell r="P323">
            <v>35.58354173875433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4.050000000000001</v>
          </cell>
          <cell r="H324">
            <v>1.15</v>
          </cell>
          <cell r="I324">
            <v>4.657500000000001</v>
          </cell>
          <cell r="J324">
            <v>5.0533875</v>
          </cell>
          <cell r="K324">
            <v>6.316734375</v>
          </cell>
          <cell r="L324">
            <v>2</v>
          </cell>
          <cell r="M324">
            <v>7.01859375</v>
          </cell>
          <cell r="N324">
            <v>7.369523437500001</v>
          </cell>
          <cell r="O324">
            <v>8.25716911764706</v>
          </cell>
          <cell r="P324">
            <v>9.082886029411766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</v>
          </cell>
          <cell r="G325">
            <v>1.4850000000000003</v>
          </cell>
          <cell r="H325">
            <v>1.15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2.941125000000001</v>
          </cell>
          <cell r="N325">
            <v>3.088181250000001</v>
          </cell>
          <cell r="O325">
            <v>3.4601470588235306</v>
          </cell>
          <cell r="P325">
            <v>3.806161764705884</v>
          </cell>
          <cell r="Q325">
            <v>3</v>
          </cell>
          <cell r="R325">
            <v>4.325183823529413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1.15</v>
          </cell>
          <cell r="I326">
            <v>3.32235</v>
          </cell>
          <cell r="J326">
            <v>3.60474975</v>
          </cell>
          <cell r="K326">
            <v>5.149642500000001</v>
          </cell>
          <cell r="L326">
            <v>2</v>
          </cell>
          <cell r="M326">
            <v>5.721825000000001</v>
          </cell>
          <cell r="N326">
            <v>6.007916250000001</v>
          </cell>
          <cell r="O326">
            <v>6.731558823529413</v>
          </cell>
          <cell r="P326">
            <v>7.4047147058823555</v>
          </cell>
          <cell r="Q326">
            <v>3</v>
          </cell>
          <cell r="R326">
            <v>8.414448529411766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1.15</v>
          </cell>
          <cell r="I327">
            <v>3.275775</v>
          </cell>
          <cell r="J327">
            <v>3.5542158749999997</v>
          </cell>
          <cell r="K327">
            <v>4.442769843749999</v>
          </cell>
          <cell r="L327">
            <v>2</v>
          </cell>
          <cell r="M327">
            <v>4.936410937499999</v>
          </cell>
          <cell r="N327">
            <v>5.183231484374999</v>
          </cell>
          <cell r="O327">
            <v>5.807542279411764</v>
          </cell>
          <cell r="P327">
            <v>6.3882965073529405</v>
          </cell>
          <cell r="Q327">
            <v>3</v>
          </cell>
          <cell r="R327">
            <v>7.259427849264704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1.15</v>
          </cell>
          <cell r="I328">
            <v>29.4975</v>
          </cell>
          <cell r="J328">
            <v>32.0047875</v>
          </cell>
          <cell r="K328">
            <v>40.005984375</v>
          </cell>
          <cell r="L328">
            <v>3</v>
          </cell>
          <cell r="M328">
            <v>47.06586397058823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0.6967300000000001</v>
          </cell>
          <cell r="G329">
            <v>0.9405855000000002</v>
          </cell>
          <cell r="H329">
            <v>1.15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2.191625691176471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1.15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1.15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</v>
          </cell>
          <cell r="P331">
            <v>3.0276286764705875</v>
          </cell>
          <cell r="Q331">
            <v>3</v>
          </cell>
          <cell r="R331">
            <v>3.44048713235294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7.074000000000001</v>
          </cell>
          <cell r="H332">
            <v>1.15</v>
          </cell>
          <cell r="I332">
            <v>8.1351</v>
          </cell>
          <cell r="J332">
            <v>8.8265835</v>
          </cell>
          <cell r="K332">
            <v>11.033229375</v>
          </cell>
          <cell r="L332">
            <v>2</v>
          </cell>
          <cell r="M332">
            <v>12.25914375</v>
          </cell>
          <cell r="N332">
            <v>12.8721009375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</v>
          </cell>
        </row>
        <row r="333">
          <cell r="A333" t="str">
            <v>D385779</v>
          </cell>
          <cell r="D333" t="str">
            <v>MILK CHAMBER</v>
          </cell>
          <cell r="F333">
            <v>2.22</v>
          </cell>
          <cell r="G333">
            <v>2.9970000000000003</v>
          </cell>
          <cell r="H333">
            <v>1.15</v>
          </cell>
          <cell r="I333">
            <v>3.4465500000000002</v>
          </cell>
          <cell r="J333">
            <v>3.7395067500000003</v>
          </cell>
          <cell r="K333">
            <v>4.6743834375</v>
          </cell>
          <cell r="L333">
            <v>2</v>
          </cell>
          <cell r="M333">
            <v>5.193759375</v>
          </cell>
          <cell r="N333">
            <v>5.453447343750001</v>
          </cell>
          <cell r="O333">
            <v>6.110305147058823</v>
          </cell>
          <cell r="P333">
            <v>6.721335661764706</v>
          </cell>
          <cell r="Q333">
            <v>3</v>
          </cell>
          <cell r="R333">
            <v>7.637881433823528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</v>
          </cell>
          <cell r="G334">
            <v>2.9970000000000003</v>
          </cell>
          <cell r="H334">
            <v>1.15</v>
          </cell>
          <cell r="I334">
            <v>3.4465500000000002</v>
          </cell>
          <cell r="J334">
            <v>3.7395067500000003</v>
          </cell>
          <cell r="K334">
            <v>4.6743834375</v>
          </cell>
          <cell r="L334">
            <v>2</v>
          </cell>
          <cell r="M334">
            <v>5.193759375</v>
          </cell>
          <cell r="N334">
            <v>5.453447343750001</v>
          </cell>
          <cell r="O334">
            <v>6.110305147058823</v>
          </cell>
          <cell r="P334">
            <v>6.721335661764706</v>
          </cell>
          <cell r="Q334">
            <v>3</v>
          </cell>
          <cell r="R334">
            <v>7.637881433823528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1.15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</v>
          </cell>
          <cell r="P335">
            <v>3.572601838235294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</v>
          </cell>
          <cell r="G336">
            <v>1.0462500000000001</v>
          </cell>
          <cell r="H336">
            <v>1.15</v>
          </cell>
          <cell r="I336">
            <v>1.2031875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1.15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</v>
          </cell>
          <cell r="H338">
            <v>1.15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</v>
          </cell>
          <cell r="N338">
            <v>315.008111829044</v>
          </cell>
          <cell r="O338">
            <v>352.9502653546712</v>
          </cell>
          <cell r="P338">
            <v>388.2452918901384</v>
          </cell>
          <cell r="Q338">
            <v>3</v>
          </cell>
          <cell r="R338">
            <v>441.187831693339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13.9995</v>
          </cell>
          <cell r="H339">
            <v>1.15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1.15</v>
          </cell>
          <cell r="I340">
            <v>16.5807</v>
          </cell>
          <cell r="J340">
            <v>17.9900595</v>
          </cell>
          <cell r="K340">
            <v>22.487574375</v>
          </cell>
          <cell r="L340">
            <v>2</v>
          </cell>
          <cell r="M340">
            <v>24.98619375</v>
          </cell>
          <cell r="N340">
            <v>26.235503437500004</v>
          </cell>
          <cell r="O340">
            <v>29.39552205882353</v>
          </cell>
          <cell r="P340">
            <v>32.33507426470589</v>
          </cell>
          <cell r="Q340">
            <v>3</v>
          </cell>
          <cell r="R340">
            <v>36.74440257352941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1.15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34.25545588235295</v>
          </cell>
          <cell r="Q341">
            <v>3</v>
          </cell>
          <cell r="R341">
            <v>38.92665441176471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94.60000000000001</v>
          </cell>
          <cell r="G342">
            <v>127.71000000000002</v>
          </cell>
          <cell r="H342">
            <v>1.15</v>
          </cell>
          <cell r="I342">
            <v>146.8665</v>
          </cell>
          <cell r="J342">
            <v>159.3501525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265.5835875000001</v>
          </cell>
          <cell r="O342">
            <v>297.5726470588236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1.15</v>
          </cell>
          <cell r="I343">
            <v>137.27205</v>
          </cell>
          <cell r="J343">
            <v>148.94017425</v>
          </cell>
          <cell r="K343">
            <v>186.1752178125</v>
          </cell>
          <cell r="L343">
            <v>2</v>
          </cell>
          <cell r="M343">
            <v>206.861353125</v>
          </cell>
          <cell r="N343">
            <v>217.20442078125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1.15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1.15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</v>
          </cell>
          <cell r="H346">
            <v>1.15</v>
          </cell>
          <cell r="I346">
            <v>185.7411</v>
          </cell>
          <cell r="J346">
            <v>201.5290935</v>
          </cell>
          <cell r="K346">
            <v>251.91136687499997</v>
          </cell>
          <cell r="L346">
            <v>3</v>
          </cell>
          <cell r="M346">
            <v>296.3663139705882</v>
          </cell>
          <cell r="N346">
            <v>311.1846296691176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1.15</v>
          </cell>
          <cell r="I347">
            <v>8.399025</v>
          </cell>
          <cell r="J347">
            <v>9.112942125</v>
          </cell>
          <cell r="K347">
            <v>11.39117765625</v>
          </cell>
          <cell r="L347">
            <v>2</v>
          </cell>
          <cell r="M347">
            <v>12.656864062499999</v>
          </cell>
          <cell r="N347">
            <v>13.289707265625</v>
          </cell>
          <cell r="O347">
            <v>14.890428308823529</v>
          </cell>
          <cell r="P347">
            <v>16.37947113970588</v>
          </cell>
          <cell r="Q347">
            <v>3</v>
          </cell>
          <cell r="R347">
            <v>18.61303538602941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</v>
          </cell>
          <cell r="G348">
            <v>102.46500000000002</v>
          </cell>
          <cell r="H348">
            <v>1.15</v>
          </cell>
          <cell r="I348">
            <v>117.83475000000001</v>
          </cell>
          <cell r="J348">
            <v>127.85070375000001</v>
          </cell>
          <cell r="K348">
            <v>182.6438625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1.15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1.15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</v>
          </cell>
          <cell r="H351">
            <v>1.15</v>
          </cell>
          <cell r="I351">
            <v>2170.503675</v>
          </cell>
          <cell r="J351">
            <v>2354.996487375</v>
          </cell>
          <cell r="K351">
            <v>2943.74560921875</v>
          </cell>
          <cell r="L351">
            <v>3</v>
          </cell>
          <cell r="M351">
            <v>3463.230128492647</v>
          </cell>
          <cell r="N351">
            <v>3636.3916349172796</v>
          </cell>
          <cell r="O351">
            <v>4074.388386461938</v>
          </cell>
          <cell r="P351">
            <v>4481.827225108132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1.15</v>
          </cell>
          <cell r="I352">
            <v>2466.441225</v>
          </cell>
          <cell r="J352">
            <v>2676.088729125</v>
          </cell>
          <cell r="K352">
            <v>3345.11091140625</v>
          </cell>
          <cell r="L352">
            <v>3</v>
          </cell>
          <cell r="M352">
            <v>3935.424601654412</v>
          </cell>
          <cell r="N352">
            <v>4132.195831737133</v>
          </cell>
          <cell r="O352">
            <v>4629.911296064014</v>
          </cell>
          <cell r="P352">
            <v>5092.902425670416</v>
          </cell>
          <cell r="Q352">
            <v>3</v>
          </cell>
          <cell r="R352">
            <v>5787.389120080017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</v>
          </cell>
          <cell r="H353">
            <v>1.15</v>
          </cell>
          <cell r="I353">
            <v>821.24145</v>
          </cell>
          <cell r="J353">
            <v>891.04697325</v>
          </cell>
          <cell r="K353">
            <v>1113.8087165625</v>
          </cell>
          <cell r="L353">
            <v>2</v>
          </cell>
          <cell r="M353">
            <v>1237.565240625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1.15</v>
          </cell>
          <cell r="I354">
            <v>532.3833000000001</v>
          </cell>
          <cell r="J354">
            <v>577.6358805000001</v>
          </cell>
          <cell r="K354">
            <v>722.0448506250001</v>
          </cell>
          <cell r="L354">
            <v>2</v>
          </cell>
          <cell r="M354">
            <v>802.2720562500001</v>
          </cell>
          <cell r="N354">
            <v>842.3856590625002</v>
          </cell>
          <cell r="O354">
            <v>943.8494779411766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57.26388888888888</v>
          </cell>
          <cell r="N355">
            <v>60.127083333333324</v>
          </cell>
          <cell r="O355">
            <v>67.36928104575162</v>
          </cell>
          <cell r="P355">
            <v>74.10620915032679</v>
          </cell>
          <cell r="Q355">
            <v>3</v>
          </cell>
          <cell r="R355">
            <v>84.21160130718953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</v>
          </cell>
          <cell r="K356">
            <v>88.15624999999999</v>
          </cell>
          <cell r="L356">
            <v>2</v>
          </cell>
          <cell r="M356">
            <v>97.95138888888887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36.61875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50.68339100346021</v>
          </cell>
          <cell r="P357">
            <v>55.75173010380623</v>
          </cell>
          <cell r="Q357">
            <v>3</v>
          </cell>
          <cell r="R357">
            <v>63.35423875432526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2.125610624872787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205.305276816609</v>
          </cell>
          <cell r="P359">
            <v>225.8358044982699</v>
          </cell>
          <cell r="Q359">
            <v>3</v>
          </cell>
          <cell r="R359">
            <v>256.6315960207612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96.565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173.2986111111111</v>
          </cell>
          <cell r="N361">
            <v>181.96354166666666</v>
          </cell>
          <cell r="O361">
            <v>203.88071895424835</v>
          </cell>
          <cell r="P361">
            <v>224.2687908496732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241.1111111111111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</v>
          </cell>
          <cell r="O363">
            <v>294.29738562091495</v>
          </cell>
          <cell r="P363">
            <v>323.7271241830065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292.3472222222222</v>
          </cell>
          <cell r="N364">
            <v>306.9645833333333</v>
          </cell>
          <cell r="O364">
            <v>343.93790849673195</v>
          </cell>
          <cell r="P364">
            <v>378.3316993464052</v>
          </cell>
          <cell r="Q364">
            <v>3</v>
          </cell>
          <cell r="R364">
            <v>429.9223856209149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289.695</v>
          </cell>
          <cell r="K365">
            <v>362.11875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335.265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</v>
          </cell>
          <cell r="P366">
            <v>602.6004901960785</v>
          </cell>
          <cell r="Q366">
            <v>3</v>
          </cell>
          <cell r="R366">
            <v>684.7732843137254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542.4999999999999</v>
          </cell>
          <cell r="N367">
            <v>569.6249999999999</v>
          </cell>
          <cell r="O367">
            <v>638.235294117647</v>
          </cell>
          <cell r="P367">
            <v>702.0588235294117</v>
          </cell>
          <cell r="Q367">
            <v>3</v>
          </cell>
          <cell r="R367">
            <v>797.7941176470587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</v>
          </cell>
          <cell r="L368">
            <v>2</v>
          </cell>
          <cell r="M368">
            <v>634.423611111111</v>
          </cell>
          <cell r="N368">
            <v>666.1447916666665</v>
          </cell>
          <cell r="O368">
            <v>746.3807189542482</v>
          </cell>
          <cell r="P368">
            <v>821.0187908496731</v>
          </cell>
          <cell r="Q368">
            <v>3</v>
          </cell>
          <cell r="R368">
            <v>932.9758986928102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</v>
          </cell>
          <cell r="N369">
            <v>585.4479166666666</v>
          </cell>
          <cell r="O369">
            <v>655.9640522875816</v>
          </cell>
          <cell r="P369">
            <v>721.5604575163399</v>
          </cell>
          <cell r="Q369">
            <v>3</v>
          </cell>
          <cell r="R369">
            <v>819.955065359477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34.76227092144047</v>
          </cell>
          <cell r="P370">
            <v>38.23849801358452</v>
          </cell>
          <cell r="Q370">
            <v>3</v>
          </cell>
          <cell r="R370">
            <v>43.45283865180058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22.33823529411765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</v>
          </cell>
          <cell r="O371">
            <v>36.5003844675125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25.02883506343714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32.29823936495013</v>
          </cell>
          <cell r="P373">
            <v>35.528063301445144</v>
          </cell>
          <cell r="Q373">
            <v>3</v>
          </cell>
          <cell r="R373">
            <v>40.37279920618766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37.65367392631793</v>
          </cell>
          <cell r="P374">
            <v>41.41904131894972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38.95894607843137</v>
          </cell>
          <cell r="L375">
            <v>3</v>
          </cell>
          <cell r="M375">
            <v>45.83405420991926</v>
          </cell>
          <cell r="N375">
            <v>48.12575692041522</v>
          </cell>
          <cell r="O375">
            <v>53.92241671755207</v>
          </cell>
          <cell r="P375">
            <v>59.314658389307276</v>
          </cell>
          <cell r="Q375">
            <v>3</v>
          </cell>
          <cell r="R375">
            <v>67.40302089694008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2.127450980392157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</v>
          </cell>
        </row>
        <row r="377">
          <cell r="A377" t="str">
            <v>L000023</v>
          </cell>
          <cell r="C377" t="str">
            <v>Beltrando</v>
          </cell>
          <cell r="D377" t="str">
            <v>Polea mecanizada A-150  </v>
          </cell>
          <cell r="E377">
            <v>1</v>
          </cell>
          <cell r="I377">
            <v>200</v>
          </cell>
          <cell r="J377">
            <v>2.127450980392157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</v>
          </cell>
          <cell r="P378">
            <v>4.716831196146278</v>
          </cell>
          <cell r="Q378">
            <v>3</v>
          </cell>
          <cell r="R378">
            <v>5.360035450166223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5.318627450980392</v>
          </cell>
          <cell r="K379">
            <v>6.6482843137254894</v>
          </cell>
          <cell r="L379">
            <v>3</v>
          </cell>
          <cell r="M379">
            <v>7.821510957324105</v>
          </cell>
          <cell r="N379">
            <v>8.21258650519031</v>
          </cell>
          <cell r="O379">
            <v>9.201777596851889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</v>
          </cell>
          <cell r="K380">
            <v>0.664828431372549</v>
          </cell>
          <cell r="L380">
            <v>2</v>
          </cell>
          <cell r="M380">
            <v>0.73869825708061</v>
          </cell>
          <cell r="N380">
            <v>0.7756331699346405</v>
          </cell>
          <cell r="O380">
            <v>0.8690567730360118</v>
          </cell>
          <cell r="P380">
            <v>0.955962450339613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0.08509803921568627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0.08509803921568627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0.08509803921568627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0.08509803921568627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0.08509803921568627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65.1</v>
          </cell>
          <cell r="K386">
            <v>81.37499999999999</v>
          </cell>
          <cell r="L386">
            <v>1</v>
          </cell>
          <cell r="M386">
            <v>85.6578947368421</v>
          </cell>
          <cell r="N386">
            <v>89.9407894736842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</v>
          </cell>
          <cell r="K387">
            <v>85.44375</v>
          </cell>
          <cell r="L387">
            <v>1</v>
          </cell>
          <cell r="M387">
            <v>89.9407894736842</v>
          </cell>
          <cell r="N387">
            <v>94.43782894736842</v>
          </cell>
          <cell r="O387">
            <v>105.812693498452</v>
          </cell>
          <cell r="P387">
            <v>116.39396284829722</v>
          </cell>
          <cell r="Q387">
            <v>3</v>
          </cell>
          <cell r="R387">
            <v>132.265866873065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89.51249999999999</v>
          </cell>
          <cell r="L388">
            <v>1</v>
          </cell>
          <cell r="M388">
            <v>94.22368421052632</v>
          </cell>
          <cell r="N388">
            <v>98.93486842105264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99.9342105263158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146.9620743034056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151.1609907120743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193.9899380804954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130.2</v>
          </cell>
          <cell r="K392">
            <v>162.74999999999997</v>
          </cell>
          <cell r="L392">
            <v>1</v>
          </cell>
          <cell r="M392">
            <v>171.3157894736842</v>
          </cell>
          <cell r="N392">
            <v>179.8815789473684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0.1625136165577342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</v>
          </cell>
          <cell r="P394">
            <v>0.2294309880815071</v>
          </cell>
          <cell r="Q394">
            <v>3</v>
          </cell>
          <cell r="R394">
            <v>0.2607170319108035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0.1382843137254902</v>
          </cell>
          <cell r="K395">
            <v>0.1728553921568627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</v>
          </cell>
          <cell r="P395">
            <v>0.24855023708829935</v>
          </cell>
          <cell r="Q395">
            <v>3</v>
          </cell>
          <cell r="R395">
            <v>0.2824434512367037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</v>
          </cell>
          <cell r="N396">
            <v>0.6077314013840831</v>
          </cell>
          <cell r="O396">
            <v>0.6809315421670398</v>
          </cell>
          <cell r="P396">
            <v>0.7490246963837438</v>
          </cell>
          <cell r="Q396">
            <v>3</v>
          </cell>
          <cell r="R396">
            <v>0.8511644277087996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61.76470588235295</v>
          </cell>
          <cell r="O398">
            <v>69.20415224913495</v>
          </cell>
          <cell r="P398">
            <v>76.12456747404845</v>
          </cell>
          <cell r="Q398">
            <v>3</v>
          </cell>
          <cell r="R398">
            <v>86.50519031141869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2.425294117647059</v>
          </cell>
          <cell r="K399">
            <v>3.031617647058823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4.615611642580908</v>
          </cell>
          <cell r="Q399">
            <v>3</v>
          </cell>
          <cell r="R399">
            <v>5.245013230205576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</v>
          </cell>
          <cell r="K401">
            <v>0.3324142156862745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</v>
          </cell>
          <cell r="Q401">
            <v>3</v>
          </cell>
          <cell r="R401">
            <v>0.575111099803243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</v>
          </cell>
          <cell r="N402">
            <v>7.643382352941177</v>
          </cell>
          <cell r="O402">
            <v>8.56401384083045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0.7233333333333334</v>
          </cell>
          <cell r="K403">
            <v>0.9041666666666667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1.251441753171857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0.5850490196078431</v>
          </cell>
          <cell r="L404">
            <v>3</v>
          </cell>
          <cell r="M404">
            <v>0.6882929642445212</v>
          </cell>
          <cell r="N404">
            <v>0.7227076124567473</v>
          </cell>
          <cell r="O404">
            <v>0.8097564285229661</v>
          </cell>
          <cell r="P404">
            <v>0.8907320713752628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</v>
          </cell>
          <cell r="K405">
            <v>0.3988970588235294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</v>
          </cell>
          <cell r="Q405">
            <v>3</v>
          </cell>
          <cell r="R405">
            <v>0.6901333197638917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</v>
          </cell>
          <cell r="L406">
            <v>3</v>
          </cell>
          <cell r="M406">
            <v>0.5475057670126875</v>
          </cell>
          <cell r="N406">
            <v>0.5748810553633219</v>
          </cell>
          <cell r="O406">
            <v>0.6441244317796324</v>
          </cell>
          <cell r="P406">
            <v>0.7085368749575958</v>
          </cell>
          <cell r="Q406">
            <v>3</v>
          </cell>
          <cell r="R406">
            <v>0.8051555397245405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</v>
          </cell>
          <cell r="K407">
            <v>0.9307598039215687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1.610311079449081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</v>
          </cell>
          <cell r="K408">
            <v>0.3988970588235294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</v>
          </cell>
          <cell r="Q408">
            <v>3</v>
          </cell>
          <cell r="R408">
            <v>0.6901333197638917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</v>
          </cell>
          <cell r="L409">
            <v>3</v>
          </cell>
          <cell r="M409">
            <v>0.7039359861591695</v>
          </cell>
          <cell r="N409">
            <v>0.739132785467128</v>
          </cell>
          <cell r="O409">
            <v>0.8281599837166701</v>
          </cell>
          <cell r="P409">
            <v>0.9109759820883372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9.2625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16.02508650519031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</v>
          </cell>
          <cell r="K411">
            <v>1.196691176470588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0.4387867647058823</v>
          </cell>
          <cell r="L412">
            <v>3</v>
          </cell>
          <cell r="M412">
            <v>0.5162197231833909</v>
          </cell>
          <cell r="N412">
            <v>0.5420307093425605</v>
          </cell>
          <cell r="O412">
            <v>0.6073173213922246</v>
          </cell>
          <cell r="P412">
            <v>0.6680490535314472</v>
          </cell>
          <cell r="Q412">
            <v>3</v>
          </cell>
          <cell r="R412">
            <v>0.7591466517402807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0.8722549019607843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</v>
          </cell>
          <cell r="K414">
            <v>0.664828431372549</v>
          </cell>
          <cell r="L414">
            <v>3</v>
          </cell>
          <cell r="M414">
            <v>0.7821510957324106</v>
          </cell>
          <cell r="N414">
            <v>0.8212586505190311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2.57421568627451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4.899026392563946</v>
          </cell>
          <cell r="Q415">
            <v>3</v>
          </cell>
          <cell r="R415">
            <v>5.567075446095393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</v>
          </cell>
          <cell r="K416">
            <v>5.1191789215686265</v>
          </cell>
          <cell r="L416">
            <v>3</v>
          </cell>
          <cell r="M416">
            <v>6.022563437139561</v>
          </cell>
          <cell r="N416">
            <v>6.32369160899654</v>
          </cell>
          <cell r="O416">
            <v>7.085368749575954</v>
          </cell>
          <cell r="P416">
            <v>7.79390562453355</v>
          </cell>
          <cell r="Q416">
            <v>3</v>
          </cell>
          <cell r="R416">
            <v>8.856710936969941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0.09573529411764707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0.07446078431372549</v>
          </cell>
          <cell r="K418">
            <v>0.09307598039215687</v>
          </cell>
          <cell r="L418">
            <v>3</v>
          </cell>
          <cell r="M418">
            <v>0.1095011534025375</v>
          </cell>
          <cell r="N418">
            <v>0.11497621107266437</v>
          </cell>
          <cell r="O418">
            <v>0.12882488635592645</v>
          </cell>
          <cell r="P418">
            <v>0.1417073749915191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0.04254901960784314</v>
          </cell>
          <cell r="K419">
            <v>0.05318627450980392</v>
          </cell>
          <cell r="L419">
            <v>3</v>
          </cell>
          <cell r="M419">
            <v>0.06257208765859285</v>
          </cell>
          <cell r="N419">
            <v>0.06570069204152248</v>
          </cell>
          <cell r="O419">
            <v>0.07361422077481511</v>
          </cell>
          <cell r="P419">
            <v>0.08097564285229662</v>
          </cell>
          <cell r="Q419">
            <v>3</v>
          </cell>
          <cell r="R419">
            <v>0.09201777596851889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0.05318627450980392</v>
          </cell>
          <cell r="K420">
            <v>0.0664828431372549</v>
          </cell>
          <cell r="L420">
            <v>3</v>
          </cell>
          <cell r="M420">
            <v>0.07821510957324106</v>
          </cell>
          <cell r="N420">
            <v>0.08212586505190311</v>
          </cell>
          <cell r="O420">
            <v>0.09201777596851889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0.2300444399212972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0.1382843137254902</v>
          </cell>
          <cell r="K422">
            <v>0.1728553921568627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</v>
          </cell>
          <cell r="L423">
            <v>3</v>
          </cell>
          <cell r="M423">
            <v>0.6257208765859285</v>
          </cell>
          <cell r="N423">
            <v>0.6570069204152249</v>
          </cell>
          <cell r="O423">
            <v>0.7361422077481511</v>
          </cell>
          <cell r="P423">
            <v>0.8097564285229663</v>
          </cell>
          <cell r="Q423">
            <v>3</v>
          </cell>
          <cell r="R423">
            <v>0.9201777596851888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0.07446078431372549</v>
          </cell>
          <cell r="K424">
            <v>0.09307598039215687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0.08509803921568627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0.1994485294117647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</v>
          </cell>
          <cell r="Q427">
            <v>3</v>
          </cell>
          <cell r="R427">
            <v>0.3258962898885044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</v>
          </cell>
          <cell r="K428">
            <v>0.3324142156862745</v>
          </cell>
          <cell r="L428">
            <v>2</v>
          </cell>
          <cell r="M428">
            <v>0.369349128540305</v>
          </cell>
          <cell r="N428">
            <v>0.38781658496732024</v>
          </cell>
          <cell r="O428">
            <v>0.4345283865180059</v>
          </cell>
          <cell r="P428">
            <v>0.4779812251698065</v>
          </cell>
          <cell r="Q428">
            <v>3</v>
          </cell>
          <cell r="R428">
            <v>0.5431604831475073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</v>
          </cell>
          <cell r="L429">
            <v>2</v>
          </cell>
          <cell r="M429">
            <v>0.517088779956427</v>
          </cell>
          <cell r="N429">
            <v>0.5429432189542484</v>
          </cell>
          <cell r="O429">
            <v>0.6083397411252083</v>
          </cell>
          <cell r="P429">
            <v>0.6691737152377292</v>
          </cell>
          <cell r="Q429">
            <v>3</v>
          </cell>
          <cell r="R429">
            <v>0.7604246764065103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0.5584558823529412</v>
          </cell>
          <cell r="L430">
            <v>2</v>
          </cell>
          <cell r="M430">
            <v>0.6205065359477124</v>
          </cell>
          <cell r="N430">
            <v>0.6515318627450981</v>
          </cell>
          <cell r="O430">
            <v>0.73000768935025</v>
          </cell>
          <cell r="P430">
            <v>0.803008458285275</v>
          </cell>
          <cell r="Q430">
            <v>3</v>
          </cell>
          <cell r="R430">
            <v>0.9125096116878124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0.031911764705882355</v>
          </cell>
          <cell r="K431">
            <v>0.03988970588235294</v>
          </cell>
          <cell r="L431">
            <v>2</v>
          </cell>
          <cell r="M431">
            <v>0.044321895424836596</v>
          </cell>
          <cell r="N431">
            <v>0.046537990196078426</v>
          </cell>
          <cell r="O431">
            <v>0.0521434063821607</v>
          </cell>
          <cell r="P431">
            <v>0.05735774702037678</v>
          </cell>
          <cell r="Q431">
            <v>3</v>
          </cell>
          <cell r="R431">
            <v>0.06517925797770087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0.038294117647058826</v>
          </cell>
          <cell r="K432">
            <v>0.04786764705882353</v>
          </cell>
          <cell r="L432">
            <v>2</v>
          </cell>
          <cell r="M432">
            <v>0.05318627450980392</v>
          </cell>
          <cell r="N432">
            <v>0.05584558823529412</v>
          </cell>
          <cell r="O432">
            <v>0.06257208765859285</v>
          </cell>
          <cell r="P432">
            <v>0.06882929642445214</v>
          </cell>
          <cell r="Q432">
            <v>3</v>
          </cell>
          <cell r="R432">
            <v>0.07821510957324106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0.04254901960784314</v>
          </cell>
          <cell r="K433">
            <v>0.05318627450980392</v>
          </cell>
          <cell r="L433">
            <v>2</v>
          </cell>
          <cell r="M433">
            <v>0.0590958605664488</v>
          </cell>
          <cell r="N433">
            <v>0.06205065359477124</v>
          </cell>
          <cell r="O433">
            <v>0.06952454184288094</v>
          </cell>
          <cell r="P433">
            <v>0.07647699602716904</v>
          </cell>
          <cell r="Q433">
            <v>3</v>
          </cell>
          <cell r="R433">
            <v>0.08690567730360117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0.04254901960784314</v>
          </cell>
          <cell r="K434">
            <v>0.05318627450980392</v>
          </cell>
          <cell r="L434">
            <v>2</v>
          </cell>
          <cell r="M434">
            <v>0.0590958605664488</v>
          </cell>
          <cell r="N434">
            <v>0.06205065359477124</v>
          </cell>
          <cell r="O434">
            <v>0.06952454184288094</v>
          </cell>
          <cell r="P434">
            <v>0.07647699602716904</v>
          </cell>
          <cell r="Q434">
            <v>3</v>
          </cell>
          <cell r="R434">
            <v>0.08690567730360117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0.047867647058823536</v>
          </cell>
          <cell r="K435">
            <v>0.059834558823529414</v>
          </cell>
          <cell r="L435">
            <v>2</v>
          </cell>
          <cell r="M435">
            <v>0.0664828431372549</v>
          </cell>
          <cell r="N435">
            <v>0.06980698529411765</v>
          </cell>
          <cell r="O435">
            <v>0.07821510957324106</v>
          </cell>
          <cell r="P435">
            <v>0.08603662053056517</v>
          </cell>
          <cell r="Q435">
            <v>3</v>
          </cell>
          <cell r="R435">
            <v>0.09776888696655131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0.058504901960784304</v>
          </cell>
          <cell r="K436">
            <v>0.07313112745098038</v>
          </cell>
          <cell r="L436">
            <v>2</v>
          </cell>
          <cell r="M436">
            <v>0.0812568082788671</v>
          </cell>
          <cell r="N436">
            <v>0.08531964869281046</v>
          </cell>
          <cell r="O436">
            <v>0.09559624503396129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0.058504901960784304</v>
          </cell>
          <cell r="K437">
            <v>0.07313112745098038</v>
          </cell>
          <cell r="L437">
            <v>2</v>
          </cell>
          <cell r="M437">
            <v>0.0812568082788671</v>
          </cell>
          <cell r="N437">
            <v>0.08531964869281046</v>
          </cell>
          <cell r="O437">
            <v>0.09559624503396129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0.07446078431372549</v>
          </cell>
          <cell r="K438">
            <v>0.09307598039215687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0.08509803921568627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17.23235294117647</v>
          </cell>
          <cell r="L440">
            <v>2</v>
          </cell>
          <cell r="M440">
            <v>19.14705882352941</v>
          </cell>
          <cell r="N440">
            <v>20.10441176470588</v>
          </cell>
          <cell r="O440">
            <v>22.525951557093425</v>
          </cell>
          <cell r="P440">
            <v>24.77854671280277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31.1261373830578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26.06127450980392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42.58378187876457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22.33823529411765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</v>
          </cell>
          <cell r="O444">
            <v>36.5003844675125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33.09368191721133</v>
          </cell>
          <cell r="N445">
            <v>34.748366013071895</v>
          </cell>
          <cell r="O445">
            <v>38.93374343201333</v>
          </cell>
          <cell r="P445">
            <v>42.82711777521467</v>
          </cell>
          <cell r="Q445">
            <v>3</v>
          </cell>
          <cell r="R445">
            <v>48.66717929001666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</v>
          </cell>
          <cell r="L446">
            <v>2</v>
          </cell>
          <cell r="M446">
            <v>0.517088779956427</v>
          </cell>
          <cell r="N446">
            <v>0.5429432189542484</v>
          </cell>
          <cell r="O446">
            <v>0.6083397411252083</v>
          </cell>
          <cell r="P446">
            <v>0.6691737152377292</v>
          </cell>
          <cell r="Q446">
            <v>3</v>
          </cell>
          <cell r="R446">
            <v>0.7604246764065103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0.04254901960784314</v>
          </cell>
          <cell r="K447">
            <v>0.05318627450980392</v>
          </cell>
          <cell r="L447">
            <v>2</v>
          </cell>
          <cell r="M447">
            <v>0.0590958605664488</v>
          </cell>
          <cell r="N447">
            <v>0.06205065359477124</v>
          </cell>
          <cell r="O447">
            <v>0.06952454184288094</v>
          </cell>
          <cell r="P447">
            <v>0.07647699602716904</v>
          </cell>
          <cell r="Q447">
            <v>3</v>
          </cell>
          <cell r="R447">
            <v>0.08690567730360117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0.07446078431372549</v>
          </cell>
          <cell r="K448">
            <v>0.09307598039215687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</v>
          </cell>
          <cell r="L449">
            <v>2</v>
          </cell>
          <cell r="M449">
            <v>5.972222222222221</v>
          </cell>
          <cell r="N449">
            <v>6.270833333333333</v>
          </cell>
          <cell r="O449">
            <v>7.026143790849672</v>
          </cell>
          <cell r="P449">
            <v>7.72875816993464</v>
          </cell>
          <cell r="Q449">
            <v>3</v>
          </cell>
          <cell r="R449">
            <v>8.78267973856209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0.3616666666666667</v>
          </cell>
          <cell r="K450">
            <v>0.45208333333333334</v>
          </cell>
          <cell r="L450">
            <v>2</v>
          </cell>
          <cell r="M450">
            <v>0.5023148148148148</v>
          </cell>
          <cell r="N450">
            <v>0.5274305555555555</v>
          </cell>
          <cell r="O450">
            <v>0.590958605664488</v>
          </cell>
          <cell r="P450">
            <v>0.6500544662309369</v>
          </cell>
          <cell r="Q450">
            <v>3</v>
          </cell>
          <cell r="R450">
            <v>0.73869825708061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</v>
          </cell>
          <cell r="H451">
            <v>1</v>
          </cell>
          <cell r="I451">
            <v>402.084</v>
          </cell>
          <cell r="J451">
            <v>4.27707</v>
          </cell>
          <cell r="K451">
            <v>5.3463375</v>
          </cell>
          <cell r="L451">
            <v>2</v>
          </cell>
          <cell r="M451">
            <v>5.9403749999999995</v>
          </cell>
          <cell r="N451">
            <v>6.23739375</v>
          </cell>
          <cell r="O451">
            <v>6.988676470588235</v>
          </cell>
          <cell r="P451">
            <v>7.687544117647059</v>
          </cell>
          <cell r="Q451">
            <v>3</v>
          </cell>
          <cell r="R451">
            <v>8.735845588235293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0.032975490196078434</v>
          </cell>
          <cell r="K452">
            <v>0.04121936274509804</v>
          </cell>
          <cell r="L452">
            <v>2</v>
          </cell>
          <cell r="M452">
            <v>0.04579929193899782</v>
          </cell>
          <cell r="N452">
            <v>0.048089256535947714</v>
          </cell>
          <cell r="O452">
            <v>0.053881519928232736</v>
          </cell>
          <cell r="P452">
            <v>0.05926967192105601</v>
          </cell>
          <cell r="Q452">
            <v>3</v>
          </cell>
          <cell r="R452">
            <v>0.06735189991029092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33.92102396514161</v>
          </cell>
          <cell r="N454">
            <v>35.61707516339869</v>
          </cell>
          <cell r="O454">
            <v>39.90708701781366</v>
          </cell>
          <cell r="P454">
            <v>43.89779571959503</v>
          </cell>
          <cell r="Q454">
            <v>3</v>
          </cell>
          <cell r="R454">
            <v>49.88385877226707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26.69950980392157</v>
          </cell>
          <cell r="K455">
            <v>33.37438725490196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40.79830473856209</v>
          </cell>
          <cell r="O456">
            <v>45.71238626169421</v>
          </cell>
          <cell r="P456">
            <v>50.28362488786364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43.73093681917211</v>
          </cell>
          <cell r="N457">
            <v>45.91748366013071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</v>
          </cell>
          <cell r="K458">
            <v>41.21936274509804</v>
          </cell>
          <cell r="L458">
            <v>2</v>
          </cell>
          <cell r="M458">
            <v>45.79929193899782</v>
          </cell>
          <cell r="N458">
            <v>48.08925653594771</v>
          </cell>
          <cell r="O458">
            <v>53.88151992823273</v>
          </cell>
          <cell r="P458">
            <v>59.269671921056</v>
          </cell>
          <cell r="Q458">
            <v>3</v>
          </cell>
          <cell r="R458">
            <v>67.35189991029091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36.5921568627451</v>
          </cell>
          <cell r="K459">
            <v>45.740196078431374</v>
          </cell>
          <cell r="L459">
            <v>2</v>
          </cell>
          <cell r="M459">
            <v>50.82244008714597</v>
          </cell>
          <cell r="N459">
            <v>53.36356209150327</v>
          </cell>
          <cell r="O459">
            <v>59.79110598487762</v>
          </cell>
          <cell r="P459">
            <v>65.77021658336538</v>
          </cell>
          <cell r="Q459">
            <v>3</v>
          </cell>
          <cell r="R459">
            <v>74.73888248109702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1.470444059976932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</v>
          </cell>
          <cell r="P462">
            <v>3.001722094066385</v>
          </cell>
          <cell r="Q462">
            <v>3</v>
          </cell>
          <cell r="R462">
            <v>3.411047834166346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</v>
          </cell>
          <cell r="L463">
            <v>2</v>
          </cell>
          <cell r="M463">
            <v>4.506059368191721</v>
          </cell>
          <cell r="N463">
            <v>4.731362336601308</v>
          </cell>
          <cell r="O463">
            <v>5.3012463155196725</v>
          </cell>
          <cell r="P463">
            <v>5.83137094707164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3.898553921568627</v>
          </cell>
          <cell r="L464">
            <v>2</v>
          </cell>
          <cell r="M464">
            <v>4.331726579520696</v>
          </cell>
          <cell r="N464">
            <v>4.548312908496731</v>
          </cell>
          <cell r="O464">
            <v>5.096148917083172</v>
          </cell>
          <cell r="P464">
            <v>5.60576380879149</v>
          </cell>
          <cell r="Q464">
            <v>3</v>
          </cell>
          <cell r="R464">
            <v>6.370186146353965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</v>
          </cell>
          <cell r="K465">
            <v>4.228308823529411</v>
          </cell>
          <cell r="L465">
            <v>2</v>
          </cell>
          <cell r="M465">
            <v>4.698120915032679</v>
          </cell>
          <cell r="N465">
            <v>4.933026960784313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6.909001345636293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</v>
          </cell>
          <cell r="K466">
            <v>5.9621813725490185</v>
          </cell>
          <cell r="L466">
            <v>2</v>
          </cell>
          <cell r="M466">
            <v>6.624645969498909</v>
          </cell>
          <cell r="N466">
            <v>6.955878267973855</v>
          </cell>
          <cell r="O466">
            <v>7.793701140586951</v>
          </cell>
          <cell r="P466">
            <v>8.573071254645647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5.493078431372549</v>
          </cell>
          <cell r="K467">
            <v>6.866348039215686</v>
          </cell>
          <cell r="L467">
            <v>2</v>
          </cell>
          <cell r="M467">
            <v>7.62927559912854</v>
          </cell>
          <cell r="N467">
            <v>8.010739379084967</v>
          </cell>
          <cell r="O467">
            <v>8.97561835191593</v>
          </cell>
          <cell r="P467">
            <v>9.873180187107524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8.707656862745099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</v>
          </cell>
          <cell r="N469">
            <v>4.927551903114187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</v>
          </cell>
          <cell r="L470">
            <v>3</v>
          </cell>
          <cell r="M470">
            <v>4.849336793540945</v>
          </cell>
          <cell r="N470">
            <v>5.091803633217992</v>
          </cell>
          <cell r="O470">
            <v>5.705102110048171</v>
          </cell>
          <cell r="P470">
            <v>6.275612321052988</v>
          </cell>
          <cell r="Q470">
            <v>3</v>
          </cell>
          <cell r="R470">
            <v>7.131377637560213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3.403921568627451</v>
          </cell>
          <cell r="K471">
            <v>4.254901960784314</v>
          </cell>
          <cell r="L471">
            <v>3</v>
          </cell>
          <cell r="M471">
            <v>5.005767012687428</v>
          </cell>
          <cell r="N471">
            <v>5.256055363321799</v>
          </cell>
          <cell r="O471">
            <v>5.889137661985209</v>
          </cell>
          <cell r="P471">
            <v>6.47805142818373</v>
          </cell>
          <cell r="Q471">
            <v>3</v>
          </cell>
          <cell r="R471">
            <v>7.36142207748151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3.403921568627451</v>
          </cell>
          <cell r="K472">
            <v>4.254901960784314</v>
          </cell>
          <cell r="L472">
            <v>3</v>
          </cell>
          <cell r="M472">
            <v>5.005767012687428</v>
          </cell>
          <cell r="N472">
            <v>5.256055363321799</v>
          </cell>
          <cell r="O472">
            <v>5.889137661985209</v>
          </cell>
          <cell r="P472">
            <v>6.47805142818373</v>
          </cell>
          <cell r="Q472">
            <v>3</v>
          </cell>
          <cell r="R472">
            <v>7.36142207748151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</v>
          </cell>
          <cell r="N473">
            <v>4.927551903114187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</v>
          </cell>
          <cell r="N474">
            <v>4.927551903114187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</v>
          </cell>
          <cell r="N475">
            <v>4.927551903114187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</v>
          </cell>
          <cell r="N476">
            <v>4.927551903114187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</v>
          </cell>
          <cell r="N477">
            <v>4.927551903114187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0.2300444399212972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</v>
          </cell>
          <cell r="K479">
            <v>5.983455882352941</v>
          </cell>
          <cell r="L479">
            <v>2</v>
          </cell>
          <cell r="M479">
            <v>6.64828431372549</v>
          </cell>
          <cell r="N479">
            <v>6.980698529411765</v>
          </cell>
          <cell r="O479">
            <v>7.821510957324106</v>
          </cell>
          <cell r="P479">
            <v>8.603662053056517</v>
          </cell>
          <cell r="Q479">
            <v>3</v>
          </cell>
          <cell r="R479">
            <v>9.776888696655131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7.313112745098039</v>
          </cell>
          <cell r="L480">
            <v>2</v>
          </cell>
          <cell r="M480">
            <v>8.12568082788671</v>
          </cell>
          <cell r="N480">
            <v>8.531964869281046</v>
          </cell>
          <cell r="O480">
            <v>9.55962450339613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</v>
          </cell>
          <cell r="L481">
            <v>2</v>
          </cell>
          <cell r="M481">
            <v>0.5614106753812634</v>
          </cell>
          <cell r="N481">
            <v>0.5894812091503266</v>
          </cell>
          <cell r="O481">
            <v>0.6604831475073688</v>
          </cell>
          <cell r="P481">
            <v>0.7265314622581057</v>
          </cell>
          <cell r="Q481">
            <v>3</v>
          </cell>
          <cell r="R481">
            <v>0.825603934384211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</v>
          </cell>
          <cell r="K482">
            <v>0.664828431372549</v>
          </cell>
          <cell r="L482">
            <v>2</v>
          </cell>
          <cell r="M482">
            <v>0.73869825708061</v>
          </cell>
          <cell r="N482">
            <v>0.7756331699346405</v>
          </cell>
          <cell r="O482">
            <v>0.8690567730360118</v>
          </cell>
          <cell r="P482">
            <v>0.955962450339613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19.11981707317073</v>
          </cell>
          <cell r="L483">
            <v>1</v>
          </cell>
          <cell r="M483">
            <v>20.12612323491656</v>
          </cell>
          <cell r="N483">
            <v>21.13242939666239</v>
          </cell>
          <cell r="O483">
            <v>23.677792041078305</v>
          </cell>
          <cell r="P483">
            <v>26.04557124518614</v>
          </cell>
          <cell r="Q483">
            <v>3</v>
          </cell>
          <cell r="R483">
            <v>29.59724005134788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</v>
          </cell>
          <cell r="P484">
            <v>38.234718341765465</v>
          </cell>
          <cell r="Q484">
            <v>3</v>
          </cell>
          <cell r="R484">
            <v>43.44854357018802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</v>
          </cell>
          <cell r="N485">
            <v>5301.041666666667</v>
          </cell>
          <cell r="O485">
            <v>5939.542483660131</v>
          </cell>
          <cell r="P485">
            <v>6533.496732026145</v>
          </cell>
          <cell r="Q485">
            <v>3</v>
          </cell>
          <cell r="R485">
            <v>7424.428104575164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>FILTRO ALFA LAVAL 4" 15.5X62       </v>
          </cell>
          <cell r="E486">
            <v>100</v>
          </cell>
          <cell r="I486">
            <v>83</v>
          </cell>
          <cell r="J486">
            <v>0.882892156862745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</v>
          </cell>
          <cell r="L487">
            <v>3</v>
          </cell>
          <cell r="M487">
            <v>0.5475057670126875</v>
          </cell>
          <cell r="N487">
            <v>0.5748810553633219</v>
          </cell>
          <cell r="O487">
            <v>0.6441244317796324</v>
          </cell>
          <cell r="P487">
            <v>0.7085368749575958</v>
          </cell>
          <cell r="Q487">
            <v>3</v>
          </cell>
          <cell r="R487">
            <v>0.8051555397245405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4963.235294117647</v>
          </cell>
          <cell r="N488">
            <v>5211.39705882353</v>
          </cell>
          <cell r="O488">
            <v>5839.100346020761</v>
          </cell>
          <cell r="P488">
            <v>6423.010380622838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</v>
          </cell>
          <cell r="P489">
            <v>8147.832817337463</v>
          </cell>
          <cell r="Q489">
            <v>3</v>
          </cell>
          <cell r="R489">
            <v>9258.90092879257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</v>
          </cell>
          <cell r="L490">
            <v>3</v>
          </cell>
          <cell r="M490">
            <v>0.7039359861591695</v>
          </cell>
          <cell r="N490">
            <v>0.739132785467128</v>
          </cell>
          <cell r="O490">
            <v>0.8281599837166701</v>
          </cell>
          <cell r="P490">
            <v>0.9109759820883372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</v>
          </cell>
          <cell r="N491">
            <v>100.36764705882354</v>
          </cell>
          <cell r="O491">
            <v>112.4567474048443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</v>
          </cell>
          <cell r="P492">
            <v>66.6089965397924</v>
          </cell>
          <cell r="Q492">
            <v>3</v>
          </cell>
          <cell r="R492">
            <v>75.69204152249135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4.042156862745098</v>
          </cell>
          <cell r="K493">
            <v>5.052696078431372</v>
          </cell>
          <cell r="L493">
            <v>2</v>
          </cell>
          <cell r="M493">
            <v>5.614106753812635</v>
          </cell>
          <cell r="N493">
            <v>5.894812091503267</v>
          </cell>
          <cell r="O493">
            <v>6.604831475073689</v>
          </cell>
          <cell r="P493">
            <v>7.265314622581058</v>
          </cell>
          <cell r="Q493">
            <v>3</v>
          </cell>
          <cell r="R493">
            <v>8.25603934384211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0.3041698705626041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6.91421568627451</v>
          </cell>
          <cell r="K495">
            <v>8.642769607843137</v>
          </cell>
          <cell r="L495">
            <v>2</v>
          </cell>
          <cell r="M495">
            <v>9.60307734204793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0.2511574074074074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0.369349128540305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</v>
          </cell>
          <cell r="K497">
            <v>0.3988970588235294</v>
          </cell>
          <cell r="L497">
            <v>2</v>
          </cell>
          <cell r="M497">
            <v>0.443218954248366</v>
          </cell>
          <cell r="N497">
            <v>0.4653799019607843</v>
          </cell>
          <cell r="O497">
            <v>0.5214340638216071</v>
          </cell>
          <cell r="P497">
            <v>0.5735774702037678</v>
          </cell>
          <cell r="Q497">
            <v>3</v>
          </cell>
          <cell r="R497">
            <v>0.6517925797770088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209.0832975</v>
          </cell>
          <cell r="L498">
            <v>3</v>
          </cell>
          <cell r="M498">
            <v>245.98035</v>
          </cell>
          <cell r="N498">
            <v>258.2793675</v>
          </cell>
          <cell r="O498">
            <v>289.3886470588235</v>
          </cell>
          <cell r="P498">
            <v>318.3275117647059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130.3302</v>
          </cell>
          <cell r="K499">
            <v>162.91275</v>
          </cell>
          <cell r="L499">
            <v>3</v>
          </cell>
          <cell r="M499">
            <v>191.6620588235294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522.0600000000001</v>
          </cell>
          <cell r="J501">
            <v>566.4351</v>
          </cell>
          <cell r="K501">
            <v>708.043875</v>
          </cell>
          <cell r="L501">
            <v>3</v>
          </cell>
          <cell r="M501">
            <v>832.992794117647</v>
          </cell>
          <cell r="N501">
            <v>874.6424338235294</v>
          </cell>
          <cell r="O501">
            <v>979.9915224913494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>30347 Fibra Parrillera # 88 - CAJA 12cm x 16cm Paquete x 12u </v>
          </cell>
          <cell r="E503">
            <v>12</v>
          </cell>
          <cell r="I503">
            <v>15.84</v>
          </cell>
          <cell r="J503">
            <v>17.1864</v>
          </cell>
          <cell r="K503">
            <v>21.482999999999997</v>
          </cell>
          <cell r="L503">
            <v>3</v>
          </cell>
          <cell r="M503">
            <v>25.27411764705882</v>
          </cell>
          <cell r="N503">
            <v>26.53782352941176</v>
          </cell>
          <cell r="O503">
            <v>29.734256055363318</v>
          </cell>
          <cell r="P503">
            <v>32.70768166089965</v>
          </cell>
          <cell r="Q503">
            <v>3</v>
          </cell>
          <cell r="R503">
            <v>37.16782006920415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</v>
          </cell>
          <cell r="O504">
            <v>50.79602076124568</v>
          </cell>
          <cell r="P504">
            <v>55.87562283737025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>19653 Blanca # 9030 p/ teflon Espesor 20mm 9cm x 12,5cm caja x 40 </v>
          </cell>
          <cell r="E505">
            <v>40</v>
          </cell>
          <cell r="I505">
            <v>56.1</v>
          </cell>
          <cell r="J505">
            <v>60.8685</v>
          </cell>
          <cell r="K505">
            <v>76.085625</v>
          </cell>
          <cell r="L505">
            <v>3</v>
          </cell>
          <cell r="M505">
            <v>89.51249999999999</v>
          </cell>
          <cell r="N505">
            <v>93.988125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</v>
          </cell>
          <cell r="L507">
            <v>3</v>
          </cell>
          <cell r="M507">
            <v>63.406442647058824</v>
          </cell>
          <cell r="N507">
            <v>66.57676477941177</v>
          </cell>
          <cell r="O507">
            <v>74.59581487889274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>Steel Cleaner Aerosol 600 grs </v>
          </cell>
          <cell r="E510">
            <v>1</v>
          </cell>
          <cell r="I510">
            <v>8.399999999999999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0.09041666666666667</v>
          </cell>
          <cell r="K511">
            <v>0.11302083333333333</v>
          </cell>
          <cell r="L511">
            <v>2</v>
          </cell>
          <cell r="M511">
            <v>0.1255787037037037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0.05318627450980392</v>
          </cell>
          <cell r="K512">
            <v>0.0664828431372549</v>
          </cell>
          <cell r="L512">
            <v>2</v>
          </cell>
          <cell r="M512">
            <v>0.073869825708061</v>
          </cell>
          <cell r="N512">
            <v>0.07756331699346405</v>
          </cell>
          <cell r="O512">
            <v>0.08690567730360117</v>
          </cell>
          <cell r="P512">
            <v>0.0955962450339613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</v>
          </cell>
          <cell r="K513">
            <v>5.983455882352941</v>
          </cell>
          <cell r="L513">
            <v>2</v>
          </cell>
          <cell r="M513">
            <v>6.64828431372549</v>
          </cell>
          <cell r="N513">
            <v>6.980698529411765</v>
          </cell>
          <cell r="O513">
            <v>7.821510957324106</v>
          </cell>
          <cell r="P513">
            <v>8.603662053056517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7.977941176470589</v>
          </cell>
          <cell r="L514">
            <v>3</v>
          </cell>
          <cell r="M514">
            <v>9.385813148788928</v>
          </cell>
          <cell r="N514">
            <v>9.855103806228374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0.06382352941176471</v>
          </cell>
          <cell r="K516">
            <v>0.07977941176470588</v>
          </cell>
          <cell r="L516">
            <v>2</v>
          </cell>
          <cell r="M516">
            <v>0.08864379084967319</v>
          </cell>
          <cell r="N516">
            <v>0.09307598039215685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0.08509803921568627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</v>
          </cell>
          <cell r="L518">
            <v>2</v>
          </cell>
          <cell r="M518">
            <v>0.6648284313725489</v>
          </cell>
          <cell r="N518">
            <v>0.6980698529411764</v>
          </cell>
          <cell r="O518">
            <v>0.7821510957324105</v>
          </cell>
          <cell r="P518">
            <v>0.8603662053056516</v>
          </cell>
          <cell r="Q518">
            <v>3</v>
          </cell>
          <cell r="R518">
            <v>0.977688869665513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0.03744313725490196</v>
          </cell>
          <cell r="K520">
            <v>0.04680392156862745</v>
          </cell>
          <cell r="L520">
            <v>3</v>
          </cell>
          <cell r="M520">
            <v>0.05506343713956171</v>
          </cell>
          <cell r="N520">
            <v>0.0578166089965398</v>
          </cell>
          <cell r="O520">
            <v>0.0647805142818373</v>
          </cell>
          <cell r="P520">
            <v>0.07125856571002104</v>
          </cell>
          <cell r="Q520">
            <v>3</v>
          </cell>
          <cell r="R520">
            <v>0.08097564285229662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</v>
          </cell>
          <cell r="L521">
            <v>3</v>
          </cell>
          <cell r="M521">
            <v>0.4301831026528258</v>
          </cell>
          <cell r="N521">
            <v>0.45169225778546707</v>
          </cell>
          <cell r="O521">
            <v>0.5060977678268539</v>
          </cell>
          <cell r="P521">
            <v>0.5567075446095393</v>
          </cell>
          <cell r="Q521">
            <v>3</v>
          </cell>
          <cell r="R521">
            <v>0.6326222097835673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0.03457107843137255</v>
          </cell>
          <cell r="K522">
            <v>0.04321384803921568</v>
          </cell>
          <cell r="L522">
            <v>3</v>
          </cell>
          <cell r="M522">
            <v>0.05083982122260668</v>
          </cell>
          <cell r="N522">
            <v>0.05338181228373702</v>
          </cell>
          <cell r="O522">
            <v>0.05981155437953728</v>
          </cell>
          <cell r="P522">
            <v>0.06579270981749101</v>
          </cell>
          <cell r="Q522">
            <v>3</v>
          </cell>
          <cell r="R522">
            <v>0.0747644429744216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0.03978333333333334</v>
          </cell>
          <cell r="K523">
            <v>0.04972916666666667</v>
          </cell>
          <cell r="L523">
            <v>3</v>
          </cell>
          <cell r="M523">
            <v>0.05850490196078432</v>
          </cell>
          <cell r="N523">
            <v>0.061430147058823534</v>
          </cell>
          <cell r="O523">
            <v>0.06882929642445214</v>
          </cell>
          <cell r="P523">
            <v>0.07571222606689736</v>
          </cell>
          <cell r="Q523">
            <v>3</v>
          </cell>
          <cell r="R523">
            <v>0.08603662053056517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0.08775735294117647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0.1670122633828618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</v>
          </cell>
          <cell r="Q525">
            <v>3</v>
          </cell>
          <cell r="R525">
            <v>0.3922257700658118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</v>
          </cell>
          <cell r="O526">
            <v>0.4610574880106842</v>
          </cell>
          <cell r="P526">
            <v>0.5071632368117527</v>
          </cell>
          <cell r="Q526">
            <v>3</v>
          </cell>
          <cell r="R526">
            <v>0.5763218600133552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0.06382352941176471</v>
          </cell>
          <cell r="K527">
            <v>0.07977941176470588</v>
          </cell>
          <cell r="L527">
            <v>1</v>
          </cell>
          <cell r="M527">
            <v>0.08397832817337461</v>
          </cell>
          <cell r="N527">
            <v>0.08817724458204335</v>
          </cell>
          <cell r="O527">
            <v>0.09879803314514661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0.031911764705882355</v>
          </cell>
          <cell r="K528">
            <v>0.03988970588235294</v>
          </cell>
          <cell r="L528">
            <v>1</v>
          </cell>
          <cell r="M528">
            <v>0.041989164086687306</v>
          </cell>
          <cell r="N528">
            <v>0.04408862229102167</v>
          </cell>
          <cell r="O528">
            <v>0.049399016572573305</v>
          </cell>
          <cell r="P528">
            <v>0.05433891822983064</v>
          </cell>
          <cell r="Q528">
            <v>3</v>
          </cell>
          <cell r="R528">
            <v>0.061748770715716626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0.04083642156862745</v>
          </cell>
          <cell r="K529">
            <v>0.05104552696078431</v>
          </cell>
          <cell r="L529">
            <v>1</v>
          </cell>
          <cell r="M529">
            <v>0.05373213364293085</v>
          </cell>
          <cell r="N529">
            <v>0.05641874032507739</v>
          </cell>
          <cell r="O529">
            <v>0.06321427487403629</v>
          </cell>
          <cell r="P529">
            <v>0.06953570236143992</v>
          </cell>
          <cell r="Q529">
            <v>3</v>
          </cell>
          <cell r="R529">
            <v>0.07901784359254535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0.05318627450980392</v>
          </cell>
          <cell r="K530">
            <v>0.0664828431372549</v>
          </cell>
          <cell r="L530">
            <v>1</v>
          </cell>
          <cell r="M530">
            <v>0.06998194014447885</v>
          </cell>
          <cell r="N530">
            <v>0.0734810371517028</v>
          </cell>
          <cell r="O530">
            <v>0.08233169428762219</v>
          </cell>
          <cell r="P530">
            <v>0.09056486371638442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0.011988356470588235</v>
          </cell>
          <cell r="K531">
            <v>0.014985445588235294</v>
          </cell>
          <cell r="L531">
            <v>1</v>
          </cell>
          <cell r="M531">
            <v>0.015774153250773994</v>
          </cell>
          <cell r="N531">
            <v>0.016562860913312695</v>
          </cell>
          <cell r="O531">
            <v>0.01855782735385176</v>
          </cell>
          <cell r="P531">
            <v>0.020413610089236936</v>
          </cell>
          <cell r="Q531">
            <v>3</v>
          </cell>
          <cell r="R531">
            <v>0.023197284192314697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0.011988356470588235</v>
          </cell>
          <cell r="K532">
            <v>0.014985445588235294</v>
          </cell>
          <cell r="L532">
            <v>1</v>
          </cell>
          <cell r="M532">
            <v>0.015774153250773994</v>
          </cell>
          <cell r="N532">
            <v>0.016562860913312695</v>
          </cell>
          <cell r="O532">
            <v>0.01855782735385176</v>
          </cell>
          <cell r="P532">
            <v>0.020413610089236936</v>
          </cell>
          <cell r="Q532">
            <v>3</v>
          </cell>
          <cell r="R532">
            <v>0.023197284192314697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0.008935294117647059</v>
          </cell>
          <cell r="K533">
            <v>0.011169117647058822</v>
          </cell>
          <cell r="L533">
            <v>1</v>
          </cell>
          <cell r="M533">
            <v>0.011756965944272444</v>
          </cell>
          <cell r="N533">
            <v>0.012344814241486066</v>
          </cell>
          <cell r="O533">
            <v>0.013831724640320522</v>
          </cell>
          <cell r="P533">
            <v>0.015214897104352577</v>
          </cell>
          <cell r="Q533">
            <v>3</v>
          </cell>
          <cell r="R533">
            <v>0.017289655800400653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0.008935294117647059</v>
          </cell>
          <cell r="K534">
            <v>0.011169117647058822</v>
          </cell>
          <cell r="L534">
            <v>1</v>
          </cell>
          <cell r="M534">
            <v>0.011756965944272444</v>
          </cell>
          <cell r="N534">
            <v>0.012344814241486066</v>
          </cell>
          <cell r="O534">
            <v>0.013831724640320522</v>
          </cell>
          <cell r="P534">
            <v>0.015214897104352577</v>
          </cell>
          <cell r="Q534">
            <v>3</v>
          </cell>
          <cell r="R534">
            <v>0.017289655800400653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</v>
          </cell>
          <cell r="J536">
            <v>0.10387279411764705</v>
          </cell>
          <cell r="K536">
            <v>0.1298409926470588</v>
          </cell>
          <cell r="L536">
            <v>1</v>
          </cell>
          <cell r="M536">
            <v>0.1366747291021672</v>
          </cell>
          <cell r="N536">
            <v>0.14350846555727556</v>
          </cell>
          <cell r="O536">
            <v>0.1607937989437261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>Colector de leche tipo M. Nuevo polic. </v>
          </cell>
          <cell r="E537">
            <v>1</v>
          </cell>
          <cell r="I537">
            <v>10.6575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</v>
          </cell>
          <cell r="J538">
            <v>0.3456841911764706</v>
          </cell>
          <cell r="K538">
            <v>0.4321052389705882</v>
          </cell>
          <cell r="L538">
            <v>1</v>
          </cell>
          <cell r="M538">
            <v>0.4548476199690403</v>
          </cell>
          <cell r="N538">
            <v>0.4775900009674923</v>
          </cell>
          <cell r="O538">
            <v>0.5351148470224003</v>
          </cell>
          <cell r="P538">
            <v>0.5886263317246404</v>
          </cell>
          <cell r="Q538">
            <v>3</v>
          </cell>
          <cell r="R538">
            <v>0.6688935587780004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>Copa central tipo TF. </v>
          </cell>
          <cell r="E539">
            <v>1</v>
          </cell>
          <cell r="I539">
            <v>5.271</v>
          </cell>
          <cell r="J539">
            <v>0.05606897058823529</v>
          </cell>
          <cell r="K539">
            <v>0.07008621323529411</v>
          </cell>
          <cell r="L539">
            <v>1</v>
          </cell>
          <cell r="M539">
            <v>0.0737749613003096</v>
          </cell>
          <cell r="N539">
            <v>0.07746370936532508</v>
          </cell>
          <cell r="O539">
            <v>0.0867940721180113</v>
          </cell>
          <cell r="P539">
            <v>0.09547347932981243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0.02122132352941176</v>
          </cell>
          <cell r="K540">
            <v>0.0265266544117647</v>
          </cell>
          <cell r="L540">
            <v>1</v>
          </cell>
          <cell r="M540">
            <v>0.027922794117647053</v>
          </cell>
          <cell r="N540">
            <v>0.029318933823529406</v>
          </cell>
          <cell r="O540">
            <v>0.03285034602076124</v>
          </cell>
          <cell r="P540">
            <v>0.03613538062283737</v>
          </cell>
          <cell r="Q540">
            <v>3</v>
          </cell>
          <cell r="R540">
            <v>0.04106293252595155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>Grifo paso de leche. </v>
          </cell>
          <cell r="E541">
            <v>1</v>
          </cell>
          <cell r="I541">
            <v>3.675</v>
          </cell>
          <cell r="J541">
            <v>0.03909191176470588</v>
          </cell>
          <cell r="K541">
            <v>0.04886488970588235</v>
          </cell>
          <cell r="L541">
            <v>1</v>
          </cell>
          <cell r="M541">
            <v>0.051436726006191945</v>
          </cell>
          <cell r="N541">
            <v>0.05400856230650154</v>
          </cell>
          <cell r="O541">
            <v>0.06051379530140229</v>
          </cell>
          <cell r="P541">
            <v>0.06656517483154252</v>
          </cell>
          <cell r="Q541">
            <v>3</v>
          </cell>
          <cell r="R541">
            <v>0.07564224412675286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>Lava ubre. </v>
          </cell>
          <cell r="E542">
            <v>1</v>
          </cell>
          <cell r="I542">
            <v>4.5360000000000005</v>
          </cell>
          <cell r="J542">
            <v>0.04825058823529412</v>
          </cell>
          <cell r="K542">
            <v>0.06031323529411765</v>
          </cell>
          <cell r="L542">
            <v>1</v>
          </cell>
          <cell r="M542">
            <v>0.0634876160990712</v>
          </cell>
          <cell r="N542">
            <v>0.06666199690402477</v>
          </cell>
          <cell r="O542">
            <v>0.07469131305773083</v>
          </cell>
          <cell r="P542">
            <v>0.08216044436350392</v>
          </cell>
          <cell r="Q542">
            <v>3</v>
          </cell>
          <cell r="R542">
            <v>0.09336414132216353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</v>
          </cell>
          <cell r="N543">
            <v>0.24998248839009288</v>
          </cell>
          <cell r="O543">
            <v>0.2800924239664906</v>
          </cell>
          <cell r="P543">
            <v>0.3081016663631397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3.066</v>
          </cell>
          <cell r="J544">
            <v>0.03261382352941176</v>
          </cell>
          <cell r="K544">
            <v>0.040767279411764695</v>
          </cell>
          <cell r="L544">
            <v>1</v>
          </cell>
          <cell r="M544">
            <v>0.04291292569659442</v>
          </cell>
          <cell r="N544">
            <v>0.04505857198142414</v>
          </cell>
          <cell r="O544">
            <v>0.050485794937169905</v>
          </cell>
          <cell r="P544">
            <v>0.0555343744308869</v>
          </cell>
          <cell r="Q544">
            <v>3</v>
          </cell>
          <cell r="R544">
            <v>0.06310724367146238</v>
          </cell>
        </row>
        <row r="545">
          <cell r="A545" t="str">
            <v>L000191</v>
          </cell>
          <cell r="B545" t="str">
            <v>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</v>
          </cell>
          <cell r="J545">
            <v>0.06388735294117646</v>
          </cell>
          <cell r="K545">
            <v>0.07985919117647057</v>
          </cell>
          <cell r="L545">
            <v>1</v>
          </cell>
          <cell r="M545">
            <v>0.08406230650154797</v>
          </cell>
          <cell r="N545">
            <v>0.08826542182662538</v>
          </cell>
          <cell r="O545">
            <v>0.09889683117829173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>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0.07293433823529412</v>
          </cell>
          <cell r="K546">
            <v>0.09116792279411765</v>
          </cell>
          <cell r="L546">
            <v>1</v>
          </cell>
          <cell r="M546">
            <v>0.09596623452012384</v>
          </cell>
          <cell r="N546">
            <v>0.10076454624613004</v>
          </cell>
          <cell r="O546">
            <v>0.1129014523766163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>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0.07293433823529412</v>
          </cell>
          <cell r="K547">
            <v>0.09116792279411765</v>
          </cell>
          <cell r="L547">
            <v>1</v>
          </cell>
          <cell r="M547">
            <v>0.09596623452012384</v>
          </cell>
          <cell r="N547">
            <v>0.10076454624613004</v>
          </cell>
          <cell r="O547">
            <v>0.1129014523766163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>1-27</v>
          </cell>
          <cell r="C548" t="str">
            <v>Evial</v>
          </cell>
          <cell r="D548" t="str">
            <v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0.0446764705882353</v>
          </cell>
          <cell r="K549">
            <v>0.05584558823529412</v>
          </cell>
          <cell r="L549">
            <v>1</v>
          </cell>
          <cell r="M549">
            <v>0.05878482972136223</v>
          </cell>
          <cell r="N549">
            <v>0.06172407120743034</v>
          </cell>
          <cell r="O549">
            <v>0.06915862320160263</v>
          </cell>
          <cell r="P549">
            <v>0.0760744855217629</v>
          </cell>
          <cell r="Q549">
            <v>3</v>
          </cell>
          <cell r="R549">
            <v>0.08644827900200328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1.749548503611971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2.572865446488193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0.8215151960784314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1.610709823144944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0.7150362745098039</v>
          </cell>
          <cell r="K554">
            <v>0.8937953431372548</v>
          </cell>
          <cell r="L554">
            <v>2</v>
          </cell>
          <cell r="M554">
            <v>0.993105936819172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</v>
          </cell>
          <cell r="K555">
            <v>0.8626813725490193</v>
          </cell>
          <cell r="L555">
            <v>2</v>
          </cell>
          <cell r="M555">
            <v>0.9585348583877993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0.5789857843137254</v>
          </cell>
          <cell r="K556">
            <v>0.7237322303921567</v>
          </cell>
          <cell r="L556">
            <v>2</v>
          </cell>
          <cell r="M556">
            <v>0.8041469226579518</v>
          </cell>
          <cell r="N556">
            <v>0.8443542687908495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0.5223955882352941</v>
          </cell>
          <cell r="K557">
            <v>0.6529944852941175</v>
          </cell>
          <cell r="L557">
            <v>2</v>
          </cell>
          <cell r="M557">
            <v>0.725549428104575</v>
          </cell>
          <cell r="N557">
            <v>0.7618268995098038</v>
          </cell>
          <cell r="O557">
            <v>0.8535875624759707</v>
          </cell>
          <cell r="P557">
            <v>0.9389463187235678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0.5718588235294118</v>
          </cell>
          <cell r="K558">
            <v>0.7148235294117646</v>
          </cell>
          <cell r="L558">
            <v>2</v>
          </cell>
          <cell r="M558">
            <v>0.7942483660130718</v>
          </cell>
          <cell r="N558">
            <v>0.8339607843137254</v>
          </cell>
          <cell r="O558">
            <v>0.9344098423683198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0.988732843137255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</v>
          </cell>
          <cell r="K560">
            <v>0.7972622549019607</v>
          </cell>
          <cell r="L560">
            <v>2</v>
          </cell>
          <cell r="M560">
            <v>0.8858469498910674</v>
          </cell>
          <cell r="N560">
            <v>0.9301392973856208</v>
          </cell>
          <cell r="O560">
            <v>1.042172882224785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0.940120588235294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</v>
          </cell>
          <cell r="K562">
            <v>0.8535067401960783</v>
          </cell>
          <cell r="L562">
            <v>2</v>
          </cell>
          <cell r="M562">
            <v>0.948340822440087</v>
          </cell>
          <cell r="N562">
            <v>0.9957578635620914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0.7977941176470589</v>
          </cell>
          <cell r="K563">
            <v>0.9972426470588236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1.270952512254902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177.2875816993464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59.675</v>
          </cell>
          <cell r="K567">
            <v>74.59374999999999</v>
          </cell>
          <cell r="L567">
            <v>2</v>
          </cell>
          <cell r="M567">
            <v>82.88194444444443</v>
          </cell>
          <cell r="N567">
            <v>87.02604166666666</v>
          </cell>
          <cell r="O567">
            <v>97.5081699346405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65.1</v>
          </cell>
          <cell r="K568">
            <v>81.37499999999999</v>
          </cell>
          <cell r="L568">
            <v>2</v>
          </cell>
          <cell r="M568">
            <v>90.41666666666664</v>
          </cell>
          <cell r="N568">
            <v>94.93749999999999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</v>
          </cell>
          <cell r="P569">
            <v>600.6503267973857</v>
          </cell>
          <cell r="Q569">
            <v>3</v>
          </cell>
          <cell r="R569">
            <v>682.5571895424836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</v>
          </cell>
          <cell r="P570">
            <v>600.6503267973857</v>
          </cell>
          <cell r="Q570">
            <v>3</v>
          </cell>
          <cell r="R570">
            <v>682.5571895424836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</v>
          </cell>
          <cell r="N571">
            <v>79.11458333333333</v>
          </cell>
          <cell r="O571">
            <v>88.6437908496732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</v>
          </cell>
          <cell r="L572">
            <v>2</v>
          </cell>
          <cell r="M572">
            <v>60.27777777777777</v>
          </cell>
          <cell r="N572">
            <v>63.291666666666664</v>
          </cell>
          <cell r="O572">
            <v>70.91503267973856</v>
          </cell>
          <cell r="P572">
            <v>78.00653594771242</v>
          </cell>
          <cell r="Q572">
            <v>3</v>
          </cell>
          <cell r="R572">
            <v>88.6437908496732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</v>
          </cell>
          <cell r="N573">
            <v>79.11458333333333</v>
          </cell>
          <cell r="O573">
            <v>88.6437908496732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558.775</v>
          </cell>
          <cell r="K574">
            <v>698.4687499999999</v>
          </cell>
          <cell r="L574">
            <v>2</v>
          </cell>
          <cell r="M574">
            <v>776.0763888888887</v>
          </cell>
          <cell r="N574">
            <v>814.8802083333331</v>
          </cell>
          <cell r="O574">
            <v>913.0310457516338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0.216468137254902</v>
          </cell>
          <cell r="L575">
            <v>2</v>
          </cell>
          <cell r="M575">
            <v>0.24052015250544664</v>
          </cell>
          <cell r="N575">
            <v>0.252546160130719</v>
          </cell>
          <cell r="O575">
            <v>0.2829648853005255</v>
          </cell>
          <cell r="P575">
            <v>0.31126137383057806</v>
          </cell>
          <cell r="Q575">
            <v>3</v>
          </cell>
          <cell r="R575">
            <v>0.3537061066256568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0.5033549019607843</v>
          </cell>
          <cell r="K580">
            <v>0.6291936274509803</v>
          </cell>
          <cell r="L580">
            <v>3</v>
          </cell>
          <cell r="M580">
            <v>0.7402277970011533</v>
          </cell>
          <cell r="N580">
            <v>0.777239186851211</v>
          </cell>
          <cell r="O580">
            <v>0.8708562317660626</v>
          </cell>
          <cell r="P580">
            <v>0.9579418549426689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0.5481377450980393</v>
          </cell>
          <cell r="K582">
            <v>0.685172181372549</v>
          </cell>
          <cell r="L582">
            <v>3</v>
          </cell>
          <cell r="M582">
            <v>0.8060849192618224</v>
          </cell>
          <cell r="N582">
            <v>0.8463891652249135</v>
          </cell>
          <cell r="O582">
            <v>0.9483351991315557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</v>
          </cell>
          <cell r="K583">
            <v>0.99684375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</v>
          </cell>
          <cell r="L584">
            <v>3</v>
          </cell>
          <cell r="M584">
            <v>0.5448464532871972</v>
          </cell>
          <cell r="N584">
            <v>0.572088775951557</v>
          </cell>
          <cell r="O584">
            <v>0.6409958273967026</v>
          </cell>
          <cell r="P584">
            <v>0.7050954101363729</v>
          </cell>
          <cell r="Q584">
            <v>3</v>
          </cell>
          <cell r="R584">
            <v>0.8012447842458782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2.037144735056653</v>
          </cell>
          <cell r="Q585">
            <v>3</v>
          </cell>
          <cell r="R585">
            <v>2.314937198928014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0.2982686274509804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</v>
          </cell>
          <cell r="O586">
            <v>0.5160356876314539</v>
          </cell>
          <cell r="P586">
            <v>0.5676392563945993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</v>
          </cell>
          <cell r="K588">
            <v>0.6637647058823529</v>
          </cell>
          <cell r="L588">
            <v>3</v>
          </cell>
          <cell r="M588">
            <v>0.7808996539792388</v>
          </cell>
          <cell r="N588">
            <v>0.8199446366782007</v>
          </cell>
          <cell r="O588">
            <v>0.9187054752696927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0.6099136029411764</v>
          </cell>
          <cell r="L589">
            <v>3</v>
          </cell>
          <cell r="M589">
            <v>0.7175454152249133</v>
          </cell>
          <cell r="N589">
            <v>0.753422685986159</v>
          </cell>
          <cell r="O589">
            <v>0.8441710767351922</v>
          </cell>
          <cell r="P589">
            <v>0.9285881844087115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</v>
          </cell>
          <cell r="L591">
            <v>3</v>
          </cell>
          <cell r="M591">
            <v>0.5475057670126875</v>
          </cell>
          <cell r="N591">
            <v>0.5748810553633219</v>
          </cell>
          <cell r="O591">
            <v>0.6441244317796324</v>
          </cell>
          <cell r="P591">
            <v>0.7085368749575958</v>
          </cell>
          <cell r="Q591">
            <v>3</v>
          </cell>
          <cell r="R591">
            <v>0.8051555397245405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2.127450980392157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2.033592848904267</v>
          </cell>
          <cell r="N594">
            <v>2.1352724913494803</v>
          </cell>
          <cell r="O594">
            <v>2.3924621751814907</v>
          </cell>
          <cell r="P594">
            <v>2.63170839269964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</v>
          </cell>
          <cell r="Q595">
            <v>3</v>
          </cell>
          <cell r="R595">
            <v>3.220622158898162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2.127450980392157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3.102532679738562</v>
          </cell>
          <cell r="O597">
            <v>3.4762270921440472</v>
          </cell>
          <cell r="P597">
            <v>3.823849801358452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2.127450980392157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3.476227092144047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0.07137598039215685</v>
          </cell>
          <cell r="K600">
            <v>0.08921997549019606</v>
          </cell>
          <cell r="L600">
            <v>2</v>
          </cell>
          <cell r="M600">
            <v>0.09913330610021784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</v>
          </cell>
          <cell r="Q601">
            <v>3</v>
          </cell>
          <cell r="R601">
            <v>0.3072115692682302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</v>
          </cell>
          <cell r="O602">
            <v>0.29061258490324227</v>
          </cell>
          <cell r="P602">
            <v>0.3196738433935665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0.2713021434063821</v>
          </cell>
          <cell r="Q603">
            <v>3</v>
          </cell>
          <cell r="R603">
            <v>0.3082978902345251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0.2586834390618993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</v>
          </cell>
          <cell r="Q605">
            <v>3</v>
          </cell>
          <cell r="R605">
            <v>0.2557199554658464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</v>
          </cell>
          <cell r="N606">
            <v>0.2947406045751633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0.4128019671921055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</v>
          </cell>
          <cell r="N607">
            <v>0.3173890931372549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</v>
          </cell>
          <cell r="L608">
            <v>2</v>
          </cell>
          <cell r="M608">
            <v>0.3988970588235293</v>
          </cell>
          <cell r="N608">
            <v>0.4188419117647058</v>
          </cell>
          <cell r="O608">
            <v>0.46929065743944626</v>
          </cell>
          <cell r="P608">
            <v>0.5162197231833909</v>
          </cell>
          <cell r="Q608">
            <v>3</v>
          </cell>
          <cell r="R608">
            <v>0.5866133217993078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</v>
          </cell>
          <cell r="L609">
            <v>2</v>
          </cell>
          <cell r="M609">
            <v>0.1706392973856209</v>
          </cell>
          <cell r="N609">
            <v>0.17917126225490193</v>
          </cell>
          <cell r="O609">
            <v>0.2007521145713187</v>
          </cell>
          <cell r="P609">
            <v>0.2208273260284506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2.127450980392157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3.476227092144047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2.127450980392157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3.476227092144047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1.042450980392157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0.8297058823529412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1.694660707420223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</v>
          </cell>
          <cell r="O614">
            <v>4.3452838651800585</v>
          </cell>
          <cell r="P614">
            <v>4.779812251698065</v>
          </cell>
          <cell r="Q614">
            <v>3</v>
          </cell>
          <cell r="R614">
            <v>5.431604831475073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</v>
          </cell>
          <cell r="Q615">
            <v>3</v>
          </cell>
          <cell r="R615">
            <v>4.997076444957067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3.128604382929642</v>
          </cell>
          <cell r="P616">
            <v>3.441464821222606</v>
          </cell>
          <cell r="Q616">
            <v>3</v>
          </cell>
          <cell r="R616">
            <v>3.910755478662052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6.488725490196079</v>
          </cell>
          <cell r="K617">
            <v>8.110906862745098</v>
          </cell>
          <cell r="L617">
            <v>2</v>
          </cell>
          <cell r="M617">
            <v>9.012118736383442</v>
          </cell>
          <cell r="N617">
            <v>9.462724673202615</v>
          </cell>
          <cell r="O617">
            <v>10.602492631039345</v>
          </cell>
          <cell r="P617">
            <v>11.66274189414328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</v>
          </cell>
          <cell r="N618">
            <v>27.92279411764706</v>
          </cell>
          <cell r="O618">
            <v>31.286043829296425</v>
          </cell>
          <cell r="P618">
            <v>34.41464821222607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</v>
          </cell>
          <cell r="P619">
            <v>39.19446046392413</v>
          </cell>
          <cell r="Q619">
            <v>3</v>
          </cell>
          <cell r="R619">
            <v>44.5391596180956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4.254901960784314</v>
          </cell>
          <cell r="K621">
            <v>5.318627450980392</v>
          </cell>
          <cell r="L621">
            <v>2</v>
          </cell>
          <cell r="M621">
            <v>5.90958605664488</v>
          </cell>
          <cell r="N621">
            <v>6.205065359477124</v>
          </cell>
          <cell r="O621">
            <v>6.9524541842880945</v>
          </cell>
          <cell r="P621">
            <v>7.647699602716904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6.701470588235294</v>
          </cell>
          <cell r="K622">
            <v>8.376838235294116</v>
          </cell>
          <cell r="L622">
            <v>2</v>
          </cell>
          <cell r="M622">
            <v>9.307598039215684</v>
          </cell>
          <cell r="N622">
            <v>9.772977941176467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8.297058823529412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52.1434063821607</v>
          </cell>
          <cell r="P624">
            <v>57.35774702037677</v>
          </cell>
          <cell r="Q624">
            <v>3</v>
          </cell>
          <cell r="R624">
            <v>65.17925797770087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19.11924900679226</v>
          </cell>
          <cell r="Q625">
            <v>3</v>
          </cell>
          <cell r="R625">
            <v>21.72641932590029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</v>
          </cell>
          <cell r="P627">
            <v>1.9624447045254088</v>
          </cell>
          <cell r="Q627">
            <v>3</v>
          </cell>
          <cell r="R627">
            <v>2.230050800597055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0.2831637254901961</v>
          </cell>
          <cell r="K628">
            <v>0.3539546568627451</v>
          </cell>
          <cell r="L628">
            <v>3</v>
          </cell>
          <cell r="M628">
            <v>0.4164172433679354</v>
          </cell>
          <cell r="N628">
            <v>0.4372381055363322</v>
          </cell>
          <cell r="O628">
            <v>0.4899026392563946</v>
          </cell>
          <cell r="P628">
            <v>0.5388929031820341</v>
          </cell>
          <cell r="Q628">
            <v>3</v>
          </cell>
          <cell r="R628">
            <v>0.6123782990704932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</v>
          </cell>
          <cell r="L629">
            <v>3</v>
          </cell>
          <cell r="M629">
            <v>0.6257208765859285</v>
          </cell>
          <cell r="N629">
            <v>0.6570069204152249</v>
          </cell>
          <cell r="O629">
            <v>0.7361422077481511</v>
          </cell>
          <cell r="P629">
            <v>0.8097564285229663</v>
          </cell>
          <cell r="Q629">
            <v>3</v>
          </cell>
          <cell r="R629">
            <v>0.9201777596851888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</v>
          </cell>
          <cell r="L630">
            <v>3</v>
          </cell>
          <cell r="M630">
            <v>0.7269312283737024</v>
          </cell>
          <cell r="N630">
            <v>0.7632777897923876</v>
          </cell>
          <cell r="O630">
            <v>0.8552132098514146</v>
          </cell>
          <cell r="P630">
            <v>0.9407345308365561</v>
          </cell>
          <cell r="Q630">
            <v>3</v>
          </cell>
          <cell r="R630">
            <v>1.069016512314268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</v>
          </cell>
          <cell r="L634">
            <v>3</v>
          </cell>
          <cell r="M634">
            <v>0.31489403114186854</v>
          </cell>
          <cell r="N634">
            <v>0.330638732698962</v>
          </cell>
          <cell r="O634">
            <v>0.3704635660492571</v>
          </cell>
          <cell r="P634">
            <v>0.40750992265418284</v>
          </cell>
          <cell r="Q634">
            <v>3</v>
          </cell>
          <cell r="R634">
            <v>0.4630794575615714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</v>
          </cell>
          <cell r="K635">
            <v>0.3925147058823529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</v>
          </cell>
          <cell r="P635">
            <v>0.5976002442499492</v>
          </cell>
          <cell r="Q635">
            <v>3</v>
          </cell>
          <cell r="R635">
            <v>0.6790911866476693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</v>
          </cell>
          <cell r="L636">
            <v>3</v>
          </cell>
          <cell r="M636">
            <v>0.49385020184544404</v>
          </cell>
          <cell r="N636">
            <v>0.5185427119377163</v>
          </cell>
          <cell r="O636">
            <v>0.5810002374652283</v>
          </cell>
          <cell r="P636">
            <v>0.6391002612117512</v>
          </cell>
          <cell r="Q636">
            <v>3</v>
          </cell>
          <cell r="R636">
            <v>0.7262502968315354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</v>
          </cell>
          <cell r="K637">
            <v>0.3825422794117646</v>
          </cell>
          <cell r="L637">
            <v>3</v>
          </cell>
          <cell r="M637">
            <v>0.450049740484429</v>
          </cell>
          <cell r="N637">
            <v>0.47255222750865045</v>
          </cell>
          <cell r="O637">
            <v>0.5294702829228576</v>
          </cell>
          <cell r="P637">
            <v>0.5824173112151434</v>
          </cell>
          <cell r="Q637">
            <v>3</v>
          </cell>
          <cell r="R637">
            <v>0.661837853653572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</v>
          </cell>
          <cell r="O638">
            <v>0.4615611642580907</v>
          </cell>
          <cell r="P638">
            <v>0.5077172806838998</v>
          </cell>
          <cell r="Q638">
            <v>3</v>
          </cell>
          <cell r="R638">
            <v>0.5769514553226133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0.030422549019607843</v>
          </cell>
          <cell r="K639">
            <v>0.0380281862745098</v>
          </cell>
          <cell r="L639">
            <v>3</v>
          </cell>
          <cell r="M639">
            <v>0.04473904267589389</v>
          </cell>
          <cell r="N639">
            <v>0.04697599480968859</v>
          </cell>
          <cell r="O639">
            <v>0.05263416785399281</v>
          </cell>
          <cell r="P639">
            <v>0.0578975846393921</v>
          </cell>
          <cell r="Q639">
            <v>3</v>
          </cell>
          <cell r="R639">
            <v>0.06579270981749101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0.2133708189158016</v>
          </cell>
          <cell r="N640">
            <v>0.22403935986159168</v>
          </cell>
          <cell r="O640">
            <v>0.25102449284211953</v>
          </cell>
          <cell r="P640">
            <v>0.2761269421263315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</v>
          </cell>
          <cell r="L641">
            <v>3</v>
          </cell>
          <cell r="M641">
            <v>0.3128604382929642</v>
          </cell>
          <cell r="N641">
            <v>0.32850346020761245</v>
          </cell>
          <cell r="O641">
            <v>0.36807110387407554</v>
          </cell>
          <cell r="P641">
            <v>0.4048782142614831</v>
          </cell>
          <cell r="Q641">
            <v>3</v>
          </cell>
          <cell r="R641">
            <v>0.4600888798425944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</v>
          </cell>
          <cell r="K642">
            <v>0.3988970588235294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</v>
          </cell>
          <cell r="Q642">
            <v>3</v>
          </cell>
          <cell r="R642">
            <v>0.6901333197638917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</v>
          </cell>
          <cell r="L644">
            <v>3</v>
          </cell>
          <cell r="M644">
            <v>0.6257208765859285</v>
          </cell>
          <cell r="N644">
            <v>0.6570069204152249</v>
          </cell>
          <cell r="O644">
            <v>0.7361422077481511</v>
          </cell>
          <cell r="P644">
            <v>0.8097564285229663</v>
          </cell>
          <cell r="Q644">
            <v>3</v>
          </cell>
          <cell r="R644">
            <v>0.9201777596851888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0.03457107843137255</v>
          </cell>
          <cell r="K645">
            <v>0.04321384803921568</v>
          </cell>
          <cell r="L645">
            <v>3</v>
          </cell>
          <cell r="M645">
            <v>0.05083982122260668</v>
          </cell>
          <cell r="N645">
            <v>0.05338181228373702</v>
          </cell>
          <cell r="O645">
            <v>0.05981155437953728</v>
          </cell>
          <cell r="P645">
            <v>0.06579270981749101</v>
          </cell>
          <cell r="Q645">
            <v>3</v>
          </cell>
          <cell r="R645">
            <v>0.0747644429744216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0.03457107843137255</v>
          </cell>
          <cell r="K646">
            <v>0.04321384803921568</v>
          </cell>
          <cell r="L646">
            <v>3</v>
          </cell>
          <cell r="M646">
            <v>0.05083982122260668</v>
          </cell>
          <cell r="N646">
            <v>0.05338181228373702</v>
          </cell>
          <cell r="O646">
            <v>0.05981155437953728</v>
          </cell>
          <cell r="P646">
            <v>0.06579270981749101</v>
          </cell>
          <cell r="Q646">
            <v>3</v>
          </cell>
          <cell r="R646">
            <v>0.0747644429744216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0.03457107843137255</v>
          </cell>
          <cell r="K647">
            <v>0.04321384803921568</v>
          </cell>
          <cell r="L647">
            <v>3</v>
          </cell>
          <cell r="M647">
            <v>0.05083982122260668</v>
          </cell>
          <cell r="N647">
            <v>0.05338181228373702</v>
          </cell>
          <cell r="O647">
            <v>0.05981155437953728</v>
          </cell>
          <cell r="P647">
            <v>0.06579270981749101</v>
          </cell>
          <cell r="Q647">
            <v>3</v>
          </cell>
          <cell r="R647">
            <v>0.0747644429744216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0.03457107843137255</v>
          </cell>
          <cell r="K648">
            <v>0.04321384803921568</v>
          </cell>
          <cell r="L648">
            <v>3</v>
          </cell>
          <cell r="M648">
            <v>0.05083982122260668</v>
          </cell>
          <cell r="N648">
            <v>0.05338181228373702</v>
          </cell>
          <cell r="O648">
            <v>0.05981155437953728</v>
          </cell>
          <cell r="P648">
            <v>0.06579270981749101</v>
          </cell>
          <cell r="Q648">
            <v>3</v>
          </cell>
          <cell r="R648">
            <v>0.0747644429744216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0.03457107843137255</v>
          </cell>
          <cell r="K649">
            <v>0.04321384803921568</v>
          </cell>
          <cell r="L649">
            <v>3</v>
          </cell>
          <cell r="M649">
            <v>0.05083982122260668</v>
          </cell>
          <cell r="N649">
            <v>0.05338181228373702</v>
          </cell>
          <cell r="O649">
            <v>0.05981155437953728</v>
          </cell>
          <cell r="P649">
            <v>0.06579270981749101</v>
          </cell>
          <cell r="Q649">
            <v>3</v>
          </cell>
          <cell r="R649">
            <v>0.0747644429744216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0.03457107843137255</v>
          </cell>
          <cell r="K650">
            <v>0.04321384803921568</v>
          </cell>
          <cell r="L650">
            <v>3</v>
          </cell>
          <cell r="M650">
            <v>0.05083982122260668</v>
          </cell>
          <cell r="N650">
            <v>0.05338181228373702</v>
          </cell>
          <cell r="O650">
            <v>0.05981155437953728</v>
          </cell>
          <cell r="P650">
            <v>0.06579270981749101</v>
          </cell>
          <cell r="Q650">
            <v>3</v>
          </cell>
          <cell r="R650">
            <v>0.0747644429744216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0.03457107843137255</v>
          </cell>
          <cell r="K651">
            <v>0.04321384803921568</v>
          </cell>
          <cell r="L651">
            <v>3</v>
          </cell>
          <cell r="M651">
            <v>0.05083982122260668</v>
          </cell>
          <cell r="N651">
            <v>0.05338181228373702</v>
          </cell>
          <cell r="O651">
            <v>0.05981155437953728</v>
          </cell>
          <cell r="P651">
            <v>0.06579270981749101</v>
          </cell>
          <cell r="Q651">
            <v>3</v>
          </cell>
          <cell r="R651">
            <v>0.0747644429744216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0.03457107843137255</v>
          </cell>
          <cell r="K652">
            <v>0.04321384803921568</v>
          </cell>
          <cell r="L652">
            <v>3</v>
          </cell>
          <cell r="M652">
            <v>0.05083982122260668</v>
          </cell>
          <cell r="N652">
            <v>0.05338181228373702</v>
          </cell>
          <cell r="O652">
            <v>0.05981155437953728</v>
          </cell>
          <cell r="P652">
            <v>0.06579270981749101</v>
          </cell>
          <cell r="Q652">
            <v>3</v>
          </cell>
          <cell r="R652">
            <v>0.0747644429744216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0.0446764705882353</v>
          </cell>
          <cell r="K653">
            <v>0.05584558823529412</v>
          </cell>
          <cell r="L653">
            <v>3</v>
          </cell>
          <cell r="M653">
            <v>0.0657006920415225</v>
          </cell>
          <cell r="N653">
            <v>0.06898572664359863</v>
          </cell>
          <cell r="O653">
            <v>0.07729493181355589</v>
          </cell>
          <cell r="P653">
            <v>0.08502442499491149</v>
          </cell>
          <cell r="Q653">
            <v>3</v>
          </cell>
          <cell r="R653">
            <v>0.09661866476694485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0.0664828431372549</v>
          </cell>
          <cell r="K654">
            <v>0.08310355392156862</v>
          </cell>
          <cell r="L654">
            <v>3</v>
          </cell>
          <cell r="M654">
            <v>0.09776888696655132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0.0664828431372549</v>
          </cell>
          <cell r="K655">
            <v>0.08310355392156862</v>
          </cell>
          <cell r="L655">
            <v>3</v>
          </cell>
          <cell r="M655">
            <v>0.09776888696655132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0.007446078431372549</v>
          </cell>
          <cell r="K656">
            <v>0.009307598039215685</v>
          </cell>
          <cell r="L656">
            <v>3</v>
          </cell>
          <cell r="M656">
            <v>0.010950115340253747</v>
          </cell>
          <cell r="N656">
            <v>0.011497621107266435</v>
          </cell>
          <cell r="O656">
            <v>0.012882488635592644</v>
          </cell>
          <cell r="P656">
            <v>0.01417073749915191</v>
          </cell>
          <cell r="Q656">
            <v>3</v>
          </cell>
          <cell r="R656">
            <v>0.016103110794490803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</v>
          </cell>
          <cell r="N657">
            <v>0.36546009948096886</v>
          </cell>
          <cell r="O657">
            <v>0.4094791030599091</v>
          </cell>
          <cell r="P657">
            <v>0.4504270133659</v>
          </cell>
          <cell r="Q657">
            <v>3</v>
          </cell>
          <cell r="R657">
            <v>0.5118488788248863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0.7658823529411766</v>
          </cell>
          <cell r="K659">
            <v>0.9573529411764706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0.04254901960784314</v>
          </cell>
          <cell r="K660">
            <v>0.05318627450980392</v>
          </cell>
          <cell r="L660">
            <v>3</v>
          </cell>
          <cell r="M660">
            <v>0.06257208765859285</v>
          </cell>
          <cell r="N660">
            <v>0.06570069204152248</v>
          </cell>
          <cell r="O660">
            <v>0.07361422077481511</v>
          </cell>
          <cell r="P660">
            <v>0.08097564285229662</v>
          </cell>
          <cell r="Q660">
            <v>3</v>
          </cell>
          <cell r="R660">
            <v>0.09201777596851889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0.04042156862745097</v>
          </cell>
          <cell r="K661">
            <v>0.050526960784313714</v>
          </cell>
          <cell r="L661">
            <v>3</v>
          </cell>
          <cell r="M661">
            <v>0.05944348327566319</v>
          </cell>
          <cell r="N661">
            <v>0.062415657439446354</v>
          </cell>
          <cell r="O661">
            <v>0.06993350973607435</v>
          </cell>
          <cell r="P661">
            <v>0.07692686070968179</v>
          </cell>
          <cell r="Q661">
            <v>3</v>
          </cell>
          <cell r="R661">
            <v>0.08741688717009292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0.06967401960784314</v>
          </cell>
          <cell r="K662">
            <v>0.08709252450980393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0.3228406862745098</v>
          </cell>
          <cell r="K663">
            <v>0.4035508578431372</v>
          </cell>
          <cell r="L663">
            <v>3</v>
          </cell>
          <cell r="M663">
            <v>0.4747657151095732</v>
          </cell>
          <cell r="N663">
            <v>0.4985040008650519</v>
          </cell>
          <cell r="O663">
            <v>0.5585479001289096</v>
          </cell>
          <cell r="P663">
            <v>0.6144026901418007</v>
          </cell>
          <cell r="Q663">
            <v>3</v>
          </cell>
          <cell r="R663">
            <v>0.698184875161137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</v>
          </cell>
          <cell r="N664">
            <v>0.6077314013840831</v>
          </cell>
          <cell r="O664">
            <v>0.6809315421670398</v>
          </cell>
          <cell r="P664">
            <v>0.7490246963837438</v>
          </cell>
          <cell r="Q664">
            <v>3</v>
          </cell>
          <cell r="R664">
            <v>0.8511644277087996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0.09201225490196077</v>
          </cell>
          <cell r="K665">
            <v>0.11501531862745096</v>
          </cell>
          <cell r="L665">
            <v>3</v>
          </cell>
          <cell r="M665">
            <v>0.135312139561707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0.09201225490196077</v>
          </cell>
          <cell r="K666">
            <v>0.11501531862745096</v>
          </cell>
          <cell r="L666">
            <v>3</v>
          </cell>
          <cell r="M666">
            <v>0.135312139561707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0.09201225490196077</v>
          </cell>
          <cell r="K667">
            <v>0.11501531862745096</v>
          </cell>
          <cell r="L667">
            <v>3</v>
          </cell>
          <cell r="M667">
            <v>0.135312139561707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0.02552941176470588</v>
          </cell>
          <cell r="K668">
            <v>0.03191176470588235</v>
          </cell>
          <cell r="L668">
            <v>3</v>
          </cell>
          <cell r="M668">
            <v>0.0375432525951557</v>
          </cell>
          <cell r="N668">
            <v>0.03942041522491349</v>
          </cell>
          <cell r="O668">
            <v>0.04416853246488906</v>
          </cell>
          <cell r="P668">
            <v>0.04858538571137797</v>
          </cell>
          <cell r="Q668">
            <v>3</v>
          </cell>
          <cell r="R668">
            <v>0.055210665581111325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0.06169607843137254</v>
          </cell>
          <cell r="K669">
            <v>0.07712009803921567</v>
          </cell>
          <cell r="L669">
            <v>3</v>
          </cell>
          <cell r="M669">
            <v>0.09072952710495961</v>
          </cell>
          <cell r="N669">
            <v>0.0952660034602076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0.43800461361015</v>
          </cell>
          <cell r="N670">
            <v>0.4599048442906575</v>
          </cell>
          <cell r="O670">
            <v>0.5152995454237058</v>
          </cell>
          <cell r="P670">
            <v>0.5668294999660765</v>
          </cell>
          <cell r="Q670">
            <v>3</v>
          </cell>
          <cell r="R670">
            <v>0.6441244317796322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</v>
          </cell>
          <cell r="K671">
            <v>0.5371813725490195</v>
          </cell>
          <cell r="L671">
            <v>3</v>
          </cell>
          <cell r="M671">
            <v>0.6319780853517877</v>
          </cell>
          <cell r="N671">
            <v>0.6635769896193771</v>
          </cell>
          <cell r="O671">
            <v>0.7435036298256326</v>
          </cell>
          <cell r="P671">
            <v>0.8178539928081959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</v>
          </cell>
          <cell r="K672">
            <v>0.5371813725490195</v>
          </cell>
          <cell r="L672">
            <v>3</v>
          </cell>
          <cell r="M672">
            <v>0.6319780853517877</v>
          </cell>
          <cell r="N672">
            <v>0.6635769896193771</v>
          </cell>
          <cell r="O672">
            <v>0.7435036298256326</v>
          </cell>
          <cell r="P672">
            <v>0.8178539928081959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</v>
          </cell>
          <cell r="K673">
            <v>0.5371813725490195</v>
          </cell>
          <cell r="L673">
            <v>3</v>
          </cell>
          <cell r="M673">
            <v>0.6319780853517877</v>
          </cell>
          <cell r="N673">
            <v>0.6635769896193771</v>
          </cell>
          <cell r="O673">
            <v>0.7435036298256326</v>
          </cell>
          <cell r="P673">
            <v>0.8178539928081959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0.02127450980392157</v>
          </cell>
          <cell r="K674">
            <v>0.02659313725490196</v>
          </cell>
          <cell r="L674">
            <v>3</v>
          </cell>
          <cell r="M674">
            <v>0.03128604382929642</v>
          </cell>
          <cell r="N674">
            <v>0.03285034602076124</v>
          </cell>
          <cell r="O674">
            <v>0.036807110387407554</v>
          </cell>
          <cell r="P674">
            <v>0.04048782142614831</v>
          </cell>
          <cell r="Q674">
            <v>3</v>
          </cell>
          <cell r="R674">
            <v>0.04600888798425944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</v>
          </cell>
          <cell r="L675">
            <v>3</v>
          </cell>
          <cell r="M675">
            <v>0.5475057670126875</v>
          </cell>
          <cell r="N675">
            <v>0.5748810553633219</v>
          </cell>
          <cell r="O675">
            <v>0.6441244317796324</v>
          </cell>
          <cell r="P675">
            <v>0.7085368749575958</v>
          </cell>
          <cell r="Q675">
            <v>3</v>
          </cell>
          <cell r="R675">
            <v>0.8051555397245405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</v>
          </cell>
          <cell r="L676">
            <v>3</v>
          </cell>
          <cell r="M676">
            <v>0.5475057670126875</v>
          </cell>
          <cell r="N676">
            <v>0.5748810553633219</v>
          </cell>
          <cell r="O676">
            <v>0.6441244317796324</v>
          </cell>
          <cell r="P676">
            <v>0.7085368749575958</v>
          </cell>
          <cell r="Q676">
            <v>3</v>
          </cell>
          <cell r="R676">
            <v>0.8051555397245405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0.031911764705882355</v>
          </cell>
          <cell r="K677">
            <v>0.03988970588235294</v>
          </cell>
          <cell r="L677">
            <v>3</v>
          </cell>
          <cell r="M677">
            <v>0.046929065743944634</v>
          </cell>
          <cell r="N677">
            <v>0.04927551903114187</v>
          </cell>
          <cell r="O677">
            <v>0.05521066558111134</v>
          </cell>
          <cell r="P677">
            <v>0.06073173213922248</v>
          </cell>
          <cell r="Q677">
            <v>3</v>
          </cell>
          <cell r="R677">
            <v>0.06901333197638918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0.1741068339100346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0.2699203431372549</v>
          </cell>
          <cell r="L679">
            <v>3</v>
          </cell>
          <cell r="M679">
            <v>0.3175533448673587</v>
          </cell>
          <cell r="N679">
            <v>0.3334310121107267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</v>
          </cell>
          <cell r="Q680">
            <v>3</v>
          </cell>
          <cell r="R680">
            <v>0.4209813250559739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0.05956862745098039</v>
          </cell>
          <cell r="K681">
            <v>0.07446078431372548</v>
          </cell>
          <cell r="L681">
            <v>3</v>
          </cell>
          <cell r="M681">
            <v>0.08760092272202998</v>
          </cell>
          <cell r="N681">
            <v>0.09198096885813148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0.058504901960784304</v>
          </cell>
          <cell r="K682">
            <v>0.07313112745098038</v>
          </cell>
          <cell r="L682">
            <v>3</v>
          </cell>
          <cell r="M682">
            <v>0.08603662053056516</v>
          </cell>
          <cell r="N682">
            <v>0.09033845155709341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0.07339705882352941</v>
          </cell>
          <cell r="K685">
            <v>0.09174632352941176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0.1269845308365561</v>
          </cell>
          <cell r="P685">
            <v>0.1396829839202117</v>
          </cell>
          <cell r="Q685">
            <v>3</v>
          </cell>
          <cell r="R685">
            <v>0.1587306635456951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0.029784313725490195</v>
          </cell>
          <cell r="K686">
            <v>0.03723039215686274</v>
          </cell>
          <cell r="L686">
            <v>3</v>
          </cell>
          <cell r="M686">
            <v>0.04380046136101499</v>
          </cell>
          <cell r="N686">
            <v>0.04599048442906574</v>
          </cell>
          <cell r="O686">
            <v>0.051529954542370575</v>
          </cell>
          <cell r="P686">
            <v>0.05668294999660764</v>
          </cell>
          <cell r="Q686">
            <v>3</v>
          </cell>
          <cell r="R686">
            <v>0.06441244317796321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0.02552941176470588</v>
          </cell>
          <cell r="K687">
            <v>0.03191176470588235</v>
          </cell>
          <cell r="L687">
            <v>3</v>
          </cell>
          <cell r="M687">
            <v>0.0375432525951557</v>
          </cell>
          <cell r="N687">
            <v>0.03942041522491349</v>
          </cell>
          <cell r="O687">
            <v>0.04416853246488906</v>
          </cell>
          <cell r="P687">
            <v>0.04858538571137797</v>
          </cell>
          <cell r="Q687">
            <v>3</v>
          </cell>
          <cell r="R687">
            <v>0.055210665581111325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0.05690931372549019</v>
          </cell>
          <cell r="K688">
            <v>0.07113664215686273</v>
          </cell>
          <cell r="L688">
            <v>3</v>
          </cell>
          <cell r="M688">
            <v>0.08369016724336792</v>
          </cell>
          <cell r="N688">
            <v>0.08787467560553631</v>
          </cell>
          <cell r="O688">
            <v>0.0984590202863152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0.8908700980392156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0.8908700980392156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0.5334270472895041</v>
          </cell>
          <cell r="N692">
            <v>0.5600983996539793</v>
          </cell>
          <cell r="O692">
            <v>0.6275612321052989</v>
          </cell>
          <cell r="P692">
            <v>0.6903173553158288</v>
          </cell>
          <cell r="Q692">
            <v>3</v>
          </cell>
          <cell r="R692">
            <v>0.7844515401316235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0.3265637254901961</v>
          </cell>
          <cell r="K693">
            <v>0.4082046568627451</v>
          </cell>
          <cell r="L693">
            <v>3</v>
          </cell>
          <cell r="M693">
            <v>0.4802407727797001</v>
          </cell>
          <cell r="N693">
            <v>0.5042528114186852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0.7062364305583825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</v>
          </cell>
          <cell r="O694">
            <v>0.486958070425402</v>
          </cell>
          <cell r="P694">
            <v>0.5356538774679422</v>
          </cell>
          <cell r="Q694">
            <v>3</v>
          </cell>
          <cell r="R694">
            <v>0.6086975880317524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</v>
          </cell>
          <cell r="O695">
            <v>0.486958070425402</v>
          </cell>
          <cell r="P695">
            <v>0.5356538774679422</v>
          </cell>
          <cell r="Q695">
            <v>3</v>
          </cell>
          <cell r="R695">
            <v>0.6086975880317524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0.031911764705882355</v>
          </cell>
          <cell r="K696">
            <v>0.03988970588235294</v>
          </cell>
          <cell r="L696">
            <v>3</v>
          </cell>
          <cell r="M696">
            <v>0.046929065743944634</v>
          </cell>
          <cell r="N696">
            <v>0.04927551903114187</v>
          </cell>
          <cell r="O696">
            <v>0.05521066558111134</v>
          </cell>
          <cell r="P696">
            <v>0.06073173213922248</v>
          </cell>
          <cell r="Q696">
            <v>3</v>
          </cell>
          <cell r="R696">
            <v>0.06901333197638918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0.2808235294117647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0.4336245674740485</v>
          </cell>
          <cell r="O697">
            <v>0.48585385711377976</v>
          </cell>
          <cell r="P697">
            <v>0.5344392428251578</v>
          </cell>
          <cell r="Q697">
            <v>3</v>
          </cell>
          <cell r="R697">
            <v>0.6073173213922247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0.5005767012687428</v>
          </cell>
          <cell r="N698">
            <v>0.5256055363321799</v>
          </cell>
          <cell r="O698">
            <v>0.5889137661985209</v>
          </cell>
          <cell r="P698">
            <v>0.647805142818373</v>
          </cell>
          <cell r="Q698">
            <v>3</v>
          </cell>
          <cell r="R698">
            <v>0.7361422077481511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</v>
          </cell>
          <cell r="L699">
            <v>3</v>
          </cell>
          <cell r="M699">
            <v>0.5928705305651673</v>
          </cell>
          <cell r="N699">
            <v>0.6225140570934257</v>
          </cell>
          <cell r="O699">
            <v>0.6974947418413733</v>
          </cell>
          <cell r="P699">
            <v>0.7672442160255106</v>
          </cell>
          <cell r="Q699">
            <v>3</v>
          </cell>
          <cell r="R699">
            <v>0.8718684273017165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0.4540778186274509</v>
          </cell>
          <cell r="L700">
            <v>3</v>
          </cell>
          <cell r="M700">
            <v>0.5342091983852364</v>
          </cell>
          <cell r="N700">
            <v>0.5609196583044982</v>
          </cell>
          <cell r="O700">
            <v>0.628481409864984</v>
          </cell>
          <cell r="P700">
            <v>0.6913295508514825</v>
          </cell>
          <cell r="Q700">
            <v>3</v>
          </cell>
          <cell r="R700">
            <v>0.78560176233123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66.76340073529413</v>
          </cell>
          <cell r="O701">
            <v>74.80493079584775</v>
          </cell>
          <cell r="P701">
            <v>82.28542387543253</v>
          </cell>
          <cell r="Q701">
            <v>3</v>
          </cell>
          <cell r="R701">
            <v>93.50616349480968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0.5298682598039215</v>
          </cell>
          <cell r="L702">
            <v>3</v>
          </cell>
          <cell r="M702">
            <v>0.6233744232987312</v>
          </cell>
          <cell r="N702">
            <v>0.6545431444636678</v>
          </cell>
          <cell r="O702">
            <v>0.7333816744690955</v>
          </cell>
          <cell r="P702">
            <v>0.8067198419160051</v>
          </cell>
          <cell r="Q702">
            <v>3</v>
          </cell>
          <cell r="R702">
            <v>0.9167270930863693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0.5744117647058823</v>
          </cell>
          <cell r="K703">
            <v>0.7180147058823528</v>
          </cell>
          <cell r="L703">
            <v>3</v>
          </cell>
          <cell r="M703">
            <v>0.8447231833910034</v>
          </cell>
          <cell r="N703">
            <v>0.8869593425605536</v>
          </cell>
          <cell r="O703">
            <v>0.993791980460004</v>
          </cell>
          <cell r="P703">
            <v>1.0931711785060045</v>
          </cell>
          <cell r="Q703">
            <v>3</v>
          </cell>
          <cell r="R703">
            <v>1.242239975575005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0.05690931372549019</v>
          </cell>
          <cell r="K704">
            <v>0.07113664215686273</v>
          </cell>
          <cell r="L704">
            <v>3</v>
          </cell>
          <cell r="M704">
            <v>0.08369016724336792</v>
          </cell>
          <cell r="N704">
            <v>0.08787467560553631</v>
          </cell>
          <cell r="O704">
            <v>0.0984590202863152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0.3312639934866681</v>
          </cell>
          <cell r="P705">
            <v>0.3643903928353349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2.375208842187394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0.0827578431372549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0.2601342526630029</v>
          </cell>
          <cell r="Q710">
            <v>3</v>
          </cell>
          <cell r="R710">
            <v>0.2956071052988669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0.08499166666666667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0.1470444059976932</v>
          </cell>
          <cell r="P711">
            <v>0.16174884659746253</v>
          </cell>
          <cell r="Q711">
            <v>3</v>
          </cell>
          <cell r="R711">
            <v>0.1838055074971165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0.2567295949521677</v>
          </cell>
          <cell r="P712">
            <v>0.2824025544473845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0.5748810553633218</v>
          </cell>
          <cell r="N714">
            <v>0.603625108131488</v>
          </cell>
          <cell r="O714">
            <v>0.6763306533686139</v>
          </cell>
          <cell r="P714">
            <v>0.7439637187054753</v>
          </cell>
          <cell r="Q714">
            <v>3</v>
          </cell>
          <cell r="R714">
            <v>0.8454133167107672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</v>
          </cell>
          <cell r="K715">
            <v>0.6315870098039215</v>
          </cell>
          <cell r="L715">
            <v>3</v>
          </cell>
          <cell r="M715">
            <v>0.74304354094579</v>
          </cell>
          <cell r="N715">
            <v>0.7801957179930795</v>
          </cell>
          <cell r="O715">
            <v>0.8741688717009294</v>
          </cell>
          <cell r="P715">
            <v>0.9615857588710224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3.25765931372549</v>
          </cell>
          <cell r="L716">
            <v>3</v>
          </cell>
          <cell r="M716">
            <v>3.832540369088812</v>
          </cell>
          <cell r="N716">
            <v>4.024167387543253</v>
          </cell>
          <cell r="O716">
            <v>4.508871022457425</v>
          </cell>
          <cell r="P716">
            <v>4.959758124703169</v>
          </cell>
          <cell r="Q716">
            <v>3</v>
          </cell>
          <cell r="R716">
            <v>5.636088778071781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</v>
          </cell>
          <cell r="L717">
            <v>3</v>
          </cell>
          <cell r="M717">
            <v>0.3347606689734717</v>
          </cell>
          <cell r="N717">
            <v>0.35149870242214526</v>
          </cell>
          <cell r="O717">
            <v>0.3938360811452608</v>
          </cell>
          <cell r="P717">
            <v>0.43321968925978693</v>
          </cell>
          <cell r="Q717">
            <v>3</v>
          </cell>
          <cell r="R717">
            <v>0.492295101431576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0.05478186274509804</v>
          </cell>
          <cell r="K718">
            <v>0.06847732843137254</v>
          </cell>
          <cell r="L718">
            <v>3</v>
          </cell>
          <cell r="M718">
            <v>0.08056156286043828</v>
          </cell>
          <cell r="N718">
            <v>0.0845896410034602</v>
          </cell>
          <cell r="O718">
            <v>0.09477830924757445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0.0866936274509804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0.05478186274509804</v>
          </cell>
          <cell r="K722">
            <v>0.06847732843137254</v>
          </cell>
          <cell r="L722">
            <v>3</v>
          </cell>
          <cell r="M722">
            <v>0.08056156286043828</v>
          </cell>
          <cell r="N722">
            <v>0.0845896410034602</v>
          </cell>
          <cell r="O722">
            <v>0.09477830924757445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0.0611642156862745</v>
          </cell>
          <cell r="K723">
            <v>0.07645526960784313</v>
          </cell>
          <cell r="L723">
            <v>3</v>
          </cell>
          <cell r="M723">
            <v>0.08994737600922721</v>
          </cell>
          <cell r="N723">
            <v>0.09444474480968858</v>
          </cell>
          <cell r="O723">
            <v>0.10582044236379672</v>
          </cell>
          <cell r="P723">
            <v>0.1164024866001764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0.058504901960784304</v>
          </cell>
          <cell r="K724">
            <v>0.07313112745098038</v>
          </cell>
          <cell r="L724">
            <v>3</v>
          </cell>
          <cell r="M724">
            <v>0.08603662053056516</v>
          </cell>
          <cell r="N724">
            <v>0.09033845155709341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0.2300444399212972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0.038294117647058826</v>
          </cell>
          <cell r="K726">
            <v>0.04786764705882353</v>
          </cell>
          <cell r="L726">
            <v>3</v>
          </cell>
          <cell r="M726">
            <v>0.056314878892733566</v>
          </cell>
          <cell r="N726">
            <v>0.05913062283737025</v>
          </cell>
          <cell r="O726">
            <v>0.06625279869733361</v>
          </cell>
          <cell r="P726">
            <v>0.07287807856706698</v>
          </cell>
          <cell r="Q726">
            <v>3</v>
          </cell>
          <cell r="R726">
            <v>0.082815998371667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0.09041666666666667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0.038294117647058826</v>
          </cell>
          <cell r="K728">
            <v>0.04786764705882353</v>
          </cell>
          <cell r="L728">
            <v>3</v>
          </cell>
          <cell r="M728">
            <v>0.056314878892733566</v>
          </cell>
          <cell r="N728">
            <v>0.05913062283737025</v>
          </cell>
          <cell r="O728">
            <v>0.06625279869733361</v>
          </cell>
          <cell r="P728">
            <v>0.07287807856706698</v>
          </cell>
          <cell r="Q728">
            <v>3</v>
          </cell>
          <cell r="R728">
            <v>0.082815998371667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</v>
          </cell>
          <cell r="L729">
            <v>3</v>
          </cell>
          <cell r="M729">
            <v>0.21118079584775085</v>
          </cell>
          <cell r="N729">
            <v>0.2217398356401384</v>
          </cell>
          <cell r="O729">
            <v>0.248447995115001</v>
          </cell>
          <cell r="P729">
            <v>0.27329279462650113</v>
          </cell>
          <cell r="Q729">
            <v>3</v>
          </cell>
          <cell r="R729">
            <v>0.3105599938937513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0.04042156862745097</v>
          </cell>
          <cell r="K730">
            <v>0.050526960784313714</v>
          </cell>
          <cell r="L730">
            <v>3</v>
          </cell>
          <cell r="M730">
            <v>0.05944348327566319</v>
          </cell>
          <cell r="N730">
            <v>0.062415657439446354</v>
          </cell>
          <cell r="O730">
            <v>0.06993350973607435</v>
          </cell>
          <cell r="P730">
            <v>0.07692686070968179</v>
          </cell>
          <cell r="Q730">
            <v>3</v>
          </cell>
          <cell r="R730">
            <v>0.08741688717009292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0.05690931372549019</v>
          </cell>
          <cell r="K731">
            <v>0.07113664215686273</v>
          </cell>
          <cell r="L731">
            <v>3</v>
          </cell>
          <cell r="M731">
            <v>0.08369016724336792</v>
          </cell>
          <cell r="N731">
            <v>0.08787467560553631</v>
          </cell>
          <cell r="O731">
            <v>0.0984590202863152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0.031911764705882355</v>
          </cell>
          <cell r="K732">
            <v>0.03988970588235294</v>
          </cell>
          <cell r="L732">
            <v>3</v>
          </cell>
          <cell r="M732">
            <v>0.046929065743944634</v>
          </cell>
          <cell r="N732">
            <v>0.04927551903114187</v>
          </cell>
          <cell r="O732">
            <v>0.05521066558111134</v>
          </cell>
          <cell r="P732">
            <v>0.06073173213922248</v>
          </cell>
          <cell r="Q732">
            <v>3</v>
          </cell>
          <cell r="R732">
            <v>0.06901333197638918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0.00691421568627451</v>
          </cell>
          <cell r="K733">
            <v>0.008642769607843137</v>
          </cell>
          <cell r="L733">
            <v>3</v>
          </cell>
          <cell r="M733">
            <v>0.010167964244521337</v>
          </cell>
          <cell r="N733">
            <v>0.010676362456747404</v>
          </cell>
          <cell r="O733">
            <v>0.011962310875907456</v>
          </cell>
          <cell r="P733">
            <v>0.013158541963498202</v>
          </cell>
          <cell r="Q733">
            <v>3</v>
          </cell>
          <cell r="R733">
            <v>0.01495288859488432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0.04254901960784314</v>
          </cell>
          <cell r="K734">
            <v>0.05318627450980392</v>
          </cell>
          <cell r="L734">
            <v>3</v>
          </cell>
          <cell r="M734">
            <v>0.06257208765859285</v>
          </cell>
          <cell r="N734">
            <v>0.06570069204152248</v>
          </cell>
          <cell r="O734">
            <v>0.07361422077481511</v>
          </cell>
          <cell r="P734">
            <v>0.08097564285229662</v>
          </cell>
          <cell r="Q734">
            <v>3</v>
          </cell>
          <cell r="R734">
            <v>0.09201777596851889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0.06861029411764706</v>
          </cell>
          <cell r="K735">
            <v>0.08576286764705882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0.019147058823529413</v>
          </cell>
          <cell r="K736">
            <v>0.023933823529411764</v>
          </cell>
          <cell r="L736">
            <v>3</v>
          </cell>
          <cell r="M736">
            <v>0.028157439446366783</v>
          </cell>
          <cell r="N736">
            <v>0.029565311418685125</v>
          </cell>
          <cell r="O736">
            <v>0.033126399348666805</v>
          </cell>
          <cell r="P736">
            <v>0.03643903928353349</v>
          </cell>
          <cell r="Q736">
            <v>3</v>
          </cell>
          <cell r="R736">
            <v>0.0414079991858335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0.2300444399212972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0.05052696078431372</v>
          </cell>
          <cell r="K738">
            <v>0.06315870098039214</v>
          </cell>
          <cell r="L738">
            <v>3</v>
          </cell>
          <cell r="M738">
            <v>0.07430435409457899</v>
          </cell>
          <cell r="N738">
            <v>0.07801957179930794</v>
          </cell>
          <cell r="O738">
            <v>0.08741688717009292</v>
          </cell>
          <cell r="P738">
            <v>0.09615857588710222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>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</v>
          </cell>
          <cell r="N739">
            <v>0.18067690311418683</v>
          </cell>
          <cell r="O739">
            <v>0.20243910713074154</v>
          </cell>
          <cell r="P739">
            <v>0.2226830178438157</v>
          </cell>
          <cell r="Q739">
            <v>3</v>
          </cell>
          <cell r="R739">
            <v>0.2530488839134269</v>
          </cell>
        </row>
        <row r="740">
          <cell r="A740" t="str">
            <v>L000386</v>
          </cell>
          <cell r="B740" t="str">
            <v>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0.031911764705882355</v>
          </cell>
          <cell r="K740">
            <v>0.03988970588235294</v>
          </cell>
          <cell r="L740">
            <v>3</v>
          </cell>
          <cell r="M740">
            <v>0.046929065743944634</v>
          </cell>
          <cell r="N740">
            <v>0.04927551903114187</v>
          </cell>
          <cell r="O740">
            <v>0.05521066558111134</v>
          </cell>
          <cell r="P740">
            <v>0.06073173213922248</v>
          </cell>
          <cell r="Q740">
            <v>3</v>
          </cell>
          <cell r="R740">
            <v>0.06901333197638918</v>
          </cell>
        </row>
        <row r="741">
          <cell r="A741" t="str">
            <v>L000387</v>
          </cell>
          <cell r="B741" t="str">
            <v>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0.038294117647058826</v>
          </cell>
          <cell r="K741">
            <v>0.04786764705882353</v>
          </cell>
          <cell r="L741">
            <v>3</v>
          </cell>
          <cell r="M741">
            <v>0.056314878892733566</v>
          </cell>
          <cell r="N741">
            <v>0.05913062283737025</v>
          </cell>
          <cell r="O741">
            <v>0.06625279869733361</v>
          </cell>
          <cell r="P741">
            <v>0.07287807856706698</v>
          </cell>
          <cell r="Q741">
            <v>3</v>
          </cell>
          <cell r="R741">
            <v>0.082815998371667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0.0393578431372549</v>
          </cell>
          <cell r="K742">
            <v>0.04919730392156862</v>
          </cell>
          <cell r="L742">
            <v>3</v>
          </cell>
          <cell r="M742">
            <v>0.05787918108419837</v>
          </cell>
          <cell r="N742">
            <v>0.060773140138408295</v>
          </cell>
          <cell r="O742">
            <v>0.06809315421670396</v>
          </cell>
          <cell r="P742">
            <v>0.07490246963837437</v>
          </cell>
          <cell r="Q742">
            <v>3</v>
          </cell>
          <cell r="R742">
            <v>0.08511644277087994</v>
          </cell>
        </row>
        <row r="743">
          <cell r="A743" t="str">
            <v>L000389</v>
          </cell>
          <cell r="B743" t="str">
            <v>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0.2185422179252323</v>
          </cell>
        </row>
        <row r="744">
          <cell r="A744" t="str">
            <v>L000390</v>
          </cell>
          <cell r="B744" t="str">
            <v>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0.03457107843137255</v>
          </cell>
          <cell r="K744">
            <v>0.04321384803921568</v>
          </cell>
          <cell r="L744">
            <v>3</v>
          </cell>
          <cell r="M744">
            <v>0.05083982122260668</v>
          </cell>
          <cell r="N744">
            <v>0.05338181228373702</v>
          </cell>
          <cell r="O744">
            <v>0.05981155437953728</v>
          </cell>
          <cell r="P744">
            <v>0.06579270981749101</v>
          </cell>
          <cell r="Q744">
            <v>3</v>
          </cell>
          <cell r="R744">
            <v>0.0747644429744216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0.00691421568627451</v>
          </cell>
          <cell r="K745">
            <v>0.008642769607843137</v>
          </cell>
          <cell r="L745">
            <v>3</v>
          </cell>
          <cell r="M745">
            <v>0.010167964244521337</v>
          </cell>
          <cell r="N745">
            <v>0.010676362456747404</v>
          </cell>
          <cell r="O745">
            <v>0.011962310875907456</v>
          </cell>
          <cell r="P745">
            <v>0.013158541963498202</v>
          </cell>
          <cell r="Q745">
            <v>3</v>
          </cell>
          <cell r="R745">
            <v>0.01495288859488432</v>
          </cell>
        </row>
        <row r="746">
          <cell r="A746" t="str">
            <v>L000392</v>
          </cell>
          <cell r="B746" t="str">
            <v>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0.017551470588235293</v>
          </cell>
          <cell r="K746">
            <v>0.021939338235294117</v>
          </cell>
          <cell r="L746">
            <v>3</v>
          </cell>
          <cell r="M746">
            <v>0.02581098615916955</v>
          </cell>
          <cell r="N746">
            <v>0.02710153546712803</v>
          </cell>
          <cell r="O746">
            <v>0.030365866069611235</v>
          </cell>
          <cell r="P746">
            <v>0.03340245267657236</v>
          </cell>
          <cell r="Q746">
            <v>3</v>
          </cell>
          <cell r="R746">
            <v>0.037957332587014045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0.04042156862745097</v>
          </cell>
          <cell r="K747">
            <v>0.050526960784313714</v>
          </cell>
          <cell r="L747">
            <v>3</v>
          </cell>
          <cell r="M747">
            <v>0.05944348327566319</v>
          </cell>
          <cell r="N747">
            <v>0.062415657439446354</v>
          </cell>
          <cell r="O747">
            <v>0.06993350973607435</v>
          </cell>
          <cell r="P747">
            <v>0.07692686070968179</v>
          </cell>
          <cell r="Q747">
            <v>3</v>
          </cell>
          <cell r="R747">
            <v>0.08741688717009292</v>
          </cell>
        </row>
        <row r="748">
          <cell r="A748" t="str">
            <v>L000394</v>
          </cell>
          <cell r="B748" t="str">
            <v>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0.0393578431372549</v>
          </cell>
          <cell r="K748">
            <v>0.04919730392156862</v>
          </cell>
          <cell r="L748">
            <v>3</v>
          </cell>
          <cell r="M748">
            <v>0.05787918108419837</v>
          </cell>
          <cell r="N748">
            <v>0.060773140138408295</v>
          </cell>
          <cell r="O748">
            <v>0.06809315421670396</v>
          </cell>
          <cell r="P748">
            <v>0.07490246963837437</v>
          </cell>
          <cell r="Q748">
            <v>3</v>
          </cell>
          <cell r="R748">
            <v>0.08511644277087994</v>
          </cell>
        </row>
        <row r="749">
          <cell r="A749" t="str">
            <v>L000395</v>
          </cell>
          <cell r="B749" t="str">
            <v>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0.02765686274509804</v>
          </cell>
          <cell r="K749">
            <v>0.03457107843137255</v>
          </cell>
          <cell r="L749">
            <v>3</v>
          </cell>
          <cell r="M749">
            <v>0.04067185697808535</v>
          </cell>
          <cell r="N749">
            <v>0.042705449826989615</v>
          </cell>
          <cell r="O749">
            <v>0.047849243503629825</v>
          </cell>
          <cell r="P749">
            <v>0.05263416785399281</v>
          </cell>
          <cell r="Q749">
            <v>3</v>
          </cell>
          <cell r="R749">
            <v>0.05981155437953728</v>
          </cell>
        </row>
        <row r="750">
          <cell r="A750" t="str">
            <v>L000396</v>
          </cell>
          <cell r="B750" t="str">
            <v>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0.017019607843137254</v>
          </cell>
          <cell r="K750">
            <v>0.021274509803921565</v>
          </cell>
          <cell r="L750">
            <v>3</v>
          </cell>
          <cell r="M750">
            <v>0.025028835063437137</v>
          </cell>
          <cell r="N750">
            <v>0.026280276816608994</v>
          </cell>
          <cell r="O750">
            <v>0.029445688309926044</v>
          </cell>
          <cell r="P750">
            <v>0.03239025714091865</v>
          </cell>
          <cell r="Q750">
            <v>3</v>
          </cell>
          <cell r="R750">
            <v>0.036807110387407554</v>
          </cell>
        </row>
        <row r="751">
          <cell r="A751" t="str">
            <v>L000397</v>
          </cell>
          <cell r="B751" t="str">
            <v>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0.07339705882352941</v>
          </cell>
          <cell r="K751">
            <v>0.09174632352941176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0.1269845308365561</v>
          </cell>
          <cell r="P751">
            <v>0.1396829839202117</v>
          </cell>
          <cell r="Q751">
            <v>3</v>
          </cell>
          <cell r="R751">
            <v>0.1587306635456951</v>
          </cell>
        </row>
        <row r="752">
          <cell r="A752" t="str">
            <v>L000398</v>
          </cell>
          <cell r="B752" t="str">
            <v>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0.05318627450980392</v>
          </cell>
          <cell r="K752">
            <v>0.0664828431372549</v>
          </cell>
          <cell r="L752">
            <v>3</v>
          </cell>
          <cell r="M752">
            <v>0.07821510957324106</v>
          </cell>
          <cell r="N752">
            <v>0.08212586505190311</v>
          </cell>
          <cell r="O752">
            <v>0.09201777596851889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>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0.0393578431372549</v>
          </cell>
          <cell r="K753">
            <v>0.04919730392156862</v>
          </cell>
          <cell r="L753">
            <v>3</v>
          </cell>
          <cell r="M753">
            <v>0.05787918108419837</v>
          </cell>
          <cell r="N753">
            <v>0.060773140138408295</v>
          </cell>
          <cell r="O753">
            <v>0.06809315421670396</v>
          </cell>
          <cell r="P753">
            <v>0.07490246963837437</v>
          </cell>
          <cell r="Q753">
            <v>3</v>
          </cell>
          <cell r="R753">
            <v>0.08511644277087994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2.033592848904267</v>
          </cell>
          <cell r="N754">
            <v>2.1352724913494803</v>
          </cell>
          <cell r="O754">
            <v>2.3924621751814907</v>
          </cell>
          <cell r="P754">
            <v>2.63170839269964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0.2049235870818916</v>
          </cell>
          <cell r="N755">
            <v>0.21516976643598618</v>
          </cell>
          <cell r="O755">
            <v>0.24108657303751954</v>
          </cell>
          <cell r="P755">
            <v>0.2651952303412715</v>
          </cell>
          <cell r="Q755">
            <v>3</v>
          </cell>
          <cell r="R755">
            <v>0.3013582162968994</v>
          </cell>
        </row>
        <row r="756">
          <cell r="A756" t="str">
            <v>L000402</v>
          </cell>
          <cell r="B756" t="str">
            <v>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0.01276470588235294</v>
          </cell>
          <cell r="K756">
            <v>0.015955882352941174</v>
          </cell>
          <cell r="L756">
            <v>3</v>
          </cell>
          <cell r="M756">
            <v>0.01877162629757785</v>
          </cell>
          <cell r="N756">
            <v>0.019710207612456745</v>
          </cell>
          <cell r="O756">
            <v>0.02208426623244453</v>
          </cell>
          <cell r="P756">
            <v>0.024292692855688986</v>
          </cell>
          <cell r="Q756">
            <v>3</v>
          </cell>
          <cell r="R756">
            <v>0.027605332790555662</v>
          </cell>
        </row>
        <row r="757">
          <cell r="A757" t="str">
            <v>L000403</v>
          </cell>
          <cell r="B757" t="str">
            <v>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0.01276470588235294</v>
          </cell>
          <cell r="K757">
            <v>0.015955882352941174</v>
          </cell>
          <cell r="L757">
            <v>3</v>
          </cell>
          <cell r="M757">
            <v>0.01877162629757785</v>
          </cell>
          <cell r="N757">
            <v>0.019710207612456745</v>
          </cell>
          <cell r="O757">
            <v>0.02208426623244453</v>
          </cell>
          <cell r="P757">
            <v>0.024292692855688986</v>
          </cell>
          <cell r="Q757">
            <v>3</v>
          </cell>
          <cell r="R757">
            <v>0.027605332790555662</v>
          </cell>
        </row>
        <row r="758">
          <cell r="A758" t="str">
            <v>L000404</v>
          </cell>
          <cell r="B758" t="str">
            <v>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0.04254901960784314</v>
          </cell>
          <cell r="K758">
            <v>0.05318627450980392</v>
          </cell>
          <cell r="L758">
            <v>3</v>
          </cell>
          <cell r="M758">
            <v>0.06257208765859285</v>
          </cell>
          <cell r="N758">
            <v>0.06570069204152248</v>
          </cell>
          <cell r="O758">
            <v>0.07361422077481511</v>
          </cell>
          <cell r="P758">
            <v>0.08097564285229662</v>
          </cell>
          <cell r="Q758">
            <v>3</v>
          </cell>
          <cell r="R758">
            <v>0.09201777596851889</v>
          </cell>
        </row>
        <row r="759">
          <cell r="A759" t="str">
            <v>L000405</v>
          </cell>
          <cell r="B759" t="str">
            <v>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0.05318627450980392</v>
          </cell>
          <cell r="K759">
            <v>0.0664828431372549</v>
          </cell>
          <cell r="L759">
            <v>3</v>
          </cell>
          <cell r="M759">
            <v>0.07821510957324106</v>
          </cell>
          <cell r="N759">
            <v>0.08212586505190311</v>
          </cell>
          <cell r="O759">
            <v>0.09201777596851889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>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0.0787156862745098</v>
          </cell>
          <cell r="K760">
            <v>0.09839460784313724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0.1702328855417599</v>
          </cell>
        </row>
        <row r="761">
          <cell r="A761" t="str">
            <v>L000407</v>
          </cell>
          <cell r="B761" t="str">
            <v>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0.01808333333333333</v>
          </cell>
          <cell r="K761">
            <v>0.02260416666666666</v>
          </cell>
          <cell r="L761">
            <v>3</v>
          </cell>
          <cell r="M761">
            <v>0.026593137254901957</v>
          </cell>
          <cell r="N761">
            <v>0.027922794117647056</v>
          </cell>
          <cell r="O761">
            <v>0.03128604382929642</v>
          </cell>
          <cell r="P761">
            <v>0.03441464821222607</v>
          </cell>
          <cell r="Q761">
            <v>3</v>
          </cell>
          <cell r="R761">
            <v>0.03910755478662053</v>
          </cell>
        </row>
        <row r="762">
          <cell r="A762" t="str">
            <v>L000408</v>
          </cell>
          <cell r="B762" t="str">
            <v>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0.01808333333333333</v>
          </cell>
          <cell r="K762">
            <v>0.02260416666666666</v>
          </cell>
          <cell r="L762">
            <v>3</v>
          </cell>
          <cell r="M762">
            <v>0.026593137254901957</v>
          </cell>
          <cell r="N762">
            <v>0.027922794117647056</v>
          </cell>
          <cell r="O762">
            <v>0.03128604382929642</v>
          </cell>
          <cell r="P762">
            <v>0.03441464821222607</v>
          </cell>
          <cell r="Q762">
            <v>3</v>
          </cell>
          <cell r="R762">
            <v>0.03910755478662053</v>
          </cell>
        </row>
        <row r="763">
          <cell r="A763" t="str">
            <v>L000409</v>
          </cell>
          <cell r="B763" t="str">
            <v>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0.038294117647058826</v>
          </cell>
          <cell r="K763">
            <v>0.04786764705882353</v>
          </cell>
          <cell r="L763">
            <v>3</v>
          </cell>
          <cell r="M763">
            <v>0.056314878892733566</v>
          </cell>
          <cell r="N763">
            <v>0.05913062283737025</v>
          </cell>
          <cell r="O763">
            <v>0.06625279869733361</v>
          </cell>
          <cell r="P763">
            <v>0.07287807856706698</v>
          </cell>
          <cell r="Q763">
            <v>3</v>
          </cell>
          <cell r="R763">
            <v>0.082815998371667</v>
          </cell>
        </row>
        <row r="764">
          <cell r="A764" t="str">
            <v>L000410</v>
          </cell>
          <cell r="B764" t="str">
            <v>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>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0.0611642156862745</v>
          </cell>
          <cell r="K765">
            <v>0.07645526960784313</v>
          </cell>
          <cell r="L765">
            <v>3</v>
          </cell>
          <cell r="M765">
            <v>0.08994737600922721</v>
          </cell>
          <cell r="N765">
            <v>0.09444474480968858</v>
          </cell>
          <cell r="O765">
            <v>0.10582044236379672</v>
          </cell>
          <cell r="P765">
            <v>0.1164024866001764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>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0.06595098039215687</v>
          </cell>
          <cell r="K766">
            <v>0.08243872549019608</v>
          </cell>
          <cell r="L766">
            <v>3</v>
          </cell>
          <cell r="M766">
            <v>0.09698673587081892</v>
          </cell>
          <cell r="N766">
            <v>0.10183607266435987</v>
          </cell>
          <cell r="O766">
            <v>0.11410204220096344</v>
          </cell>
          <cell r="P766">
            <v>0.1255122464210598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>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0.06595098039215687</v>
          </cell>
          <cell r="K767">
            <v>0.08243872549019608</v>
          </cell>
          <cell r="L767">
            <v>3</v>
          </cell>
          <cell r="M767">
            <v>0.09698673587081892</v>
          </cell>
          <cell r="N767">
            <v>0.10183607266435987</v>
          </cell>
          <cell r="O767">
            <v>0.11410204220096344</v>
          </cell>
          <cell r="P767">
            <v>0.1255122464210598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>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0.06169607843137254</v>
          </cell>
          <cell r="K768">
            <v>0.07712009803921567</v>
          </cell>
          <cell r="L768">
            <v>3</v>
          </cell>
          <cell r="M768">
            <v>0.09072952710495961</v>
          </cell>
          <cell r="N768">
            <v>0.0952660034602076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>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0.02659313725490196</v>
          </cell>
          <cell r="K769">
            <v>0.03324142156862745</v>
          </cell>
          <cell r="L769">
            <v>3</v>
          </cell>
          <cell r="M769">
            <v>0.03910755478662053</v>
          </cell>
          <cell r="N769">
            <v>0.041062932525951557</v>
          </cell>
          <cell r="O769">
            <v>0.04600888798425944</v>
          </cell>
          <cell r="P769">
            <v>0.05060977678268539</v>
          </cell>
          <cell r="Q769">
            <v>3</v>
          </cell>
          <cell r="R769">
            <v>0.0575111099803243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</v>
          </cell>
          <cell r="L770">
            <v>3</v>
          </cell>
          <cell r="M770">
            <v>0.5475057670126875</v>
          </cell>
          <cell r="N770">
            <v>0.5748810553633219</v>
          </cell>
          <cell r="O770">
            <v>0.6441244317796324</v>
          </cell>
          <cell r="P770">
            <v>0.7085368749575958</v>
          </cell>
          <cell r="Q770">
            <v>3</v>
          </cell>
          <cell r="R770">
            <v>0.8051555397245405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</v>
          </cell>
          <cell r="L771">
            <v>3</v>
          </cell>
          <cell r="M771">
            <v>0.6257208765859285</v>
          </cell>
          <cell r="N771">
            <v>0.6570069204152249</v>
          </cell>
          <cell r="O771">
            <v>0.7361422077481511</v>
          </cell>
          <cell r="P771">
            <v>0.8097564285229663</v>
          </cell>
          <cell r="Q771">
            <v>3</v>
          </cell>
          <cell r="R771">
            <v>0.9201777596851888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</v>
          </cell>
          <cell r="N772">
            <v>4.927551903114187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6.901333197638918</v>
          </cell>
        </row>
        <row r="773">
          <cell r="A773" t="str">
            <v>L000419</v>
          </cell>
          <cell r="C773" t="str">
            <v>proveedor??</v>
          </cell>
          <cell r="D773" t="str">
            <v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</v>
          </cell>
          <cell r="N773">
            <v>4.927551903114187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</v>
          </cell>
          <cell r="K774">
            <v>0.3988970588235294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</v>
          </cell>
          <cell r="Q774">
            <v>3</v>
          </cell>
          <cell r="R774">
            <v>0.6901333197638917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</v>
          </cell>
          <cell r="L775">
            <v>3</v>
          </cell>
          <cell r="M775">
            <v>0.5475057670126875</v>
          </cell>
          <cell r="N775">
            <v>0.5748810553633219</v>
          </cell>
          <cell r="O775">
            <v>0.6441244317796324</v>
          </cell>
          <cell r="P775">
            <v>0.7085368749575958</v>
          </cell>
          <cell r="Q775">
            <v>3</v>
          </cell>
          <cell r="R775">
            <v>0.8051555397245405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4.254901960784314</v>
          </cell>
          <cell r="K776">
            <v>5.318627450980392</v>
          </cell>
          <cell r="L776">
            <v>3</v>
          </cell>
          <cell r="M776">
            <v>6.257208765859285</v>
          </cell>
          <cell r="N776">
            <v>6.570069204152249</v>
          </cell>
          <cell r="O776">
            <v>7.361422077481512</v>
          </cell>
          <cell r="P776">
            <v>8.097564285229664</v>
          </cell>
          <cell r="Q776">
            <v>3</v>
          </cell>
          <cell r="R776">
            <v>9.201777596851889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</v>
          </cell>
          <cell r="O777">
            <v>4.600888798425944</v>
          </cell>
          <cell r="P777">
            <v>5.060977678268539</v>
          </cell>
          <cell r="Q777">
            <v>3</v>
          </cell>
          <cell r="R777">
            <v>5.75111099803243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</v>
          </cell>
          <cell r="L778">
            <v>3</v>
          </cell>
          <cell r="M778">
            <v>0.3128604382929642</v>
          </cell>
          <cell r="N778">
            <v>0.32850346020761245</v>
          </cell>
          <cell r="O778">
            <v>0.36807110387407554</v>
          </cell>
          <cell r="P778">
            <v>0.4048782142614831</v>
          </cell>
          <cell r="Q778">
            <v>3</v>
          </cell>
          <cell r="R778">
            <v>0.4600888798425944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</v>
          </cell>
          <cell r="K780">
            <v>1.0637254901960784</v>
          </cell>
          <cell r="L780">
            <v>3</v>
          </cell>
          <cell r="M780">
            <v>1.251441753171857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20.60968137254902</v>
          </cell>
          <cell r="L781">
            <v>3</v>
          </cell>
          <cell r="M781">
            <v>24.24668396770473</v>
          </cell>
          <cell r="N781">
            <v>25.45901816608997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</v>
          </cell>
          <cell r="K784">
            <v>1.0637254901960784</v>
          </cell>
          <cell r="L784">
            <v>3</v>
          </cell>
          <cell r="M784">
            <v>1.251441753171857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</v>
          </cell>
          <cell r="N785">
            <v>32.85034602076124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46.00888798425944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</v>
          </cell>
          <cell r="N786">
            <v>32.85034602076124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46.00888798425944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0.5850490196078431</v>
          </cell>
          <cell r="K787">
            <v>0.7313112745098038</v>
          </cell>
          <cell r="L787">
            <v>3</v>
          </cell>
          <cell r="M787">
            <v>0.8603662053056516</v>
          </cell>
          <cell r="N787">
            <v>0.9033845155709341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</v>
          </cell>
          <cell r="N788">
            <v>9172.916666666668</v>
          </cell>
          <cell r="O788">
            <v>10277.77777777778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>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</v>
          </cell>
          <cell r="O789">
            <v>4.3452838651800585</v>
          </cell>
          <cell r="P789">
            <v>4.779812251698065</v>
          </cell>
          <cell r="Q789">
            <v>3</v>
          </cell>
          <cell r="R789">
            <v>5.431604831475073</v>
          </cell>
        </row>
        <row r="790">
          <cell r="A790" t="str">
            <v>L000436</v>
          </cell>
          <cell r="C790" t="str">
            <v>Alani</v>
          </cell>
          <cell r="D790" t="str">
            <v>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</v>
          </cell>
          <cell r="L790">
            <v>2</v>
          </cell>
          <cell r="M790">
            <v>2.0246241830065355</v>
          </cell>
          <cell r="N790">
            <v>2.125855392156862</v>
          </cell>
          <cell r="O790">
            <v>2.3819108035371004</v>
          </cell>
          <cell r="P790">
            <v>2.620101883890811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1.15</v>
          </cell>
          <cell r="I797">
            <v>2328.75</v>
          </cell>
          <cell r="J797">
            <v>2526.69375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4128.584558823529</v>
          </cell>
          <cell r="P797">
            <v>4541.443014705882</v>
          </cell>
          <cell r="Q797">
            <v>3</v>
          </cell>
          <cell r="R797">
            <v>5160.730698529411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2.543633578431373</v>
          </cell>
          <cell r="L798">
            <v>1</v>
          </cell>
          <cell r="M798">
            <v>2.677509029927761</v>
          </cell>
          <cell r="N798">
            <v>2.811384481424149</v>
          </cell>
          <cell r="O798">
            <v>3.1500106234444245</v>
          </cell>
          <cell r="P798">
            <v>3.465011685788867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1.15</v>
          </cell>
          <cell r="I800">
            <v>25.755974999999996</v>
          </cell>
          <cell r="J800">
            <v>27.945232874999995</v>
          </cell>
          <cell r="K800">
            <v>34.93154109374999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</v>
          </cell>
          <cell r="P800">
            <v>47.584761861455114</v>
          </cell>
          <cell r="Q800">
            <v>3</v>
          </cell>
          <cell r="R800">
            <v>54.0735930243808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1.15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260.5412095588235</v>
          </cell>
          <cell r="P801">
            <v>286.59533051470584</v>
          </cell>
          <cell r="Q801">
            <v>3</v>
          </cell>
          <cell r="R801">
            <v>325.6765119485293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20.24</v>
          </cell>
          <cell r="G802">
            <v>27.323999999999998</v>
          </cell>
          <cell r="H802">
            <v>1.15</v>
          </cell>
          <cell r="I802">
            <v>31.422599999999996</v>
          </cell>
          <cell r="J802">
            <v>34.093520999999996</v>
          </cell>
          <cell r="K802">
            <v>42.61690124999999</v>
          </cell>
          <cell r="L802">
            <v>2</v>
          </cell>
          <cell r="M802">
            <v>47.35211249999999</v>
          </cell>
          <cell r="N802">
            <v>49.71971812499999</v>
          </cell>
          <cell r="O802">
            <v>55.708367647058814</v>
          </cell>
          <cell r="P802">
            <v>61.2792044117647</v>
          </cell>
          <cell r="Q802">
            <v>3</v>
          </cell>
          <cell r="R802">
            <v>69.63545955882351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567.9720000000001</v>
          </cell>
          <cell r="H803">
            <v>1.15</v>
          </cell>
          <cell r="I803">
            <v>653.1678</v>
          </cell>
          <cell r="J803">
            <v>708.6870630000001</v>
          </cell>
          <cell r="K803">
            <v>885.85882875</v>
          </cell>
          <cell r="L803">
            <v>2</v>
          </cell>
          <cell r="M803">
            <v>984.2875875</v>
          </cell>
          <cell r="N803">
            <v>1033.501966875</v>
          </cell>
          <cell r="O803">
            <v>1157.9853970588235</v>
          </cell>
          <cell r="P803">
            <v>1273.783936764706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1.15</v>
          </cell>
          <cell r="I804">
            <v>1641.0546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3636.732518382352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</v>
          </cell>
          <cell r="G805">
            <v>1724.4900000000002</v>
          </cell>
          <cell r="H805">
            <v>1.15</v>
          </cell>
          <cell r="I805">
            <v>1983.1635</v>
          </cell>
          <cell r="J805">
            <v>2151.7323975</v>
          </cell>
          <cell r="K805">
            <v>2689.665496875</v>
          </cell>
          <cell r="L805">
            <v>1</v>
          </cell>
          <cell r="M805">
            <v>2831.2268388157895</v>
          </cell>
          <cell r="N805">
            <v>2972.788180756579</v>
          </cell>
          <cell r="O805">
            <v>3330.855104489164</v>
          </cell>
          <cell r="P805">
            <v>3663.940614938081</v>
          </cell>
          <cell r="Q805">
            <v>3</v>
          </cell>
          <cell r="R805">
            <v>4163.568880611455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1.15</v>
          </cell>
          <cell r="I807">
            <v>58.995</v>
          </cell>
          <cell r="J807">
            <v>64.009575</v>
          </cell>
          <cell r="K807">
            <v>80.01196875</v>
          </cell>
          <cell r="L807">
            <v>2</v>
          </cell>
          <cell r="M807">
            <v>88.9021875</v>
          </cell>
          <cell r="N807">
            <v>93.347296875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</v>
          </cell>
          <cell r="H808">
            <v>1.15</v>
          </cell>
          <cell r="I808">
            <v>6.877574999999999</v>
          </cell>
          <cell r="J808">
            <v>7.462168874999999</v>
          </cell>
          <cell r="K808">
            <v>9.327711093749999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1.15</v>
          </cell>
          <cell r="I809">
            <v>1.1643750000000002</v>
          </cell>
          <cell r="J809">
            <v>1.263346875</v>
          </cell>
          <cell r="K809">
            <v>1.57918359375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2.064292279411765</v>
          </cell>
          <cell r="P809">
            <v>2.2707215073529414</v>
          </cell>
          <cell r="Q809">
            <v>3</v>
          </cell>
          <cell r="R809">
            <v>2.580365349264706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</v>
          </cell>
          <cell r="G810">
            <v>1.4850000000000003</v>
          </cell>
          <cell r="H810">
            <v>1.15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9.639</v>
          </cell>
          <cell r="H811">
            <v>1.15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</v>
          </cell>
          <cell r="H812">
            <v>1.15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</v>
          </cell>
          <cell r="Q812">
            <v>3</v>
          </cell>
          <cell r="R812">
            <v>2.933467976006192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0.8775000000000001</v>
          </cell>
          <cell r="H813">
            <v>1.15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1.440658717105263</v>
          </cell>
          <cell r="N813">
            <v>1.512691652960526</v>
          </cell>
          <cell r="O813">
            <v>1.694892608359133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1.15</v>
          </cell>
          <cell r="I814">
            <v>2.406375</v>
          </cell>
          <cell r="J814">
            <v>2.610916875</v>
          </cell>
          <cell r="K814">
            <v>3.26364609375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4.692824448529412</v>
          </cell>
          <cell r="Q814">
            <v>3</v>
          </cell>
          <cell r="R814">
            <v>5.332755055147058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1.15</v>
          </cell>
          <cell r="I815">
            <v>5.8218749999999995</v>
          </cell>
          <cell r="J815">
            <v>6.316734374999999</v>
          </cell>
          <cell r="K815">
            <v>7.895917968749999</v>
          </cell>
          <cell r="L815">
            <v>2</v>
          </cell>
          <cell r="M815">
            <v>8.7732421875</v>
          </cell>
          <cell r="N815">
            <v>9.211904296875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1.15</v>
          </cell>
          <cell r="I816">
            <v>324.4725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517.7245036764706</v>
          </cell>
          <cell r="N816">
            <v>543.6107288602941</v>
          </cell>
          <cell r="O816">
            <v>609.0876513840831</v>
          </cell>
          <cell r="P816">
            <v>669.9964165224915</v>
          </cell>
          <cell r="Q816">
            <v>3</v>
          </cell>
          <cell r="R816">
            <v>761.3595642301038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1.15</v>
          </cell>
          <cell r="I817">
            <v>983.57085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1569.374076838235</v>
          </cell>
          <cell r="N817">
            <v>1647.8427806801467</v>
          </cell>
          <cell r="O817">
            <v>1846.3224433391</v>
          </cell>
          <cell r="P817">
            <v>2030.95468767301</v>
          </cell>
          <cell r="Q817">
            <v>3</v>
          </cell>
          <cell r="R817">
            <v>2307.903054173875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1.15</v>
          </cell>
          <cell r="I818">
            <v>287.21250000000003</v>
          </cell>
          <cell r="J818">
            <v>311.6255625</v>
          </cell>
          <cell r="K818">
            <v>389.531953125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</v>
          </cell>
          <cell r="Q818">
            <v>3</v>
          </cell>
          <cell r="R818">
            <v>636.490119485294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6483.834000000001</v>
          </cell>
          <cell r="H819">
            <v>1.15</v>
          </cell>
          <cell r="I819">
            <v>7456.4091</v>
          </cell>
          <cell r="J819">
            <v>8090.2038735</v>
          </cell>
          <cell r="K819">
            <v>10112.754841875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</v>
          </cell>
          <cell r="H820">
            <v>1.15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249.2450400493421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1.15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</v>
          </cell>
          <cell r="O821">
            <v>71.34194117647058</v>
          </cell>
          <cell r="P821">
            <v>78.47613529411765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1.15</v>
          </cell>
          <cell r="I822">
            <v>26.92035</v>
          </cell>
          <cell r="J822">
            <v>29.20857975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42.59584546875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59.65804687499999</v>
          </cell>
        </row>
        <row r="823">
          <cell r="A823">
            <v>4024058</v>
          </cell>
          <cell r="D823" t="str">
            <v>KIT,CABLE,EMI,OPTI-FLO</v>
          </cell>
          <cell r="F823">
            <v>305.96</v>
          </cell>
          <cell r="G823">
            <v>413.046</v>
          </cell>
          <cell r="H823">
            <v>1.15</v>
          </cell>
          <cell r="I823">
            <v>475.00289999999995</v>
          </cell>
          <cell r="J823">
            <v>515.3781465</v>
          </cell>
          <cell r="K823">
            <v>644.2226831249999</v>
          </cell>
          <cell r="L823">
            <v>2</v>
          </cell>
          <cell r="M823">
            <v>715.8029812499999</v>
          </cell>
          <cell r="N823">
            <v>751.5931303125</v>
          </cell>
          <cell r="O823">
            <v>842.1211544117646</v>
          </cell>
          <cell r="P823">
            <v>926.333269852941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8.9505</v>
          </cell>
          <cell r="H824">
            <v>1.15</v>
          </cell>
          <cell r="I824">
            <v>10.293075</v>
          </cell>
          <cell r="J824">
            <v>11.167986375</v>
          </cell>
          <cell r="K824">
            <v>13.95998296875</v>
          </cell>
          <cell r="L824">
            <v>1</v>
          </cell>
          <cell r="M824">
            <v>14.694718914473684</v>
          </cell>
          <cell r="N824">
            <v>15.42945486019737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1.15</v>
          </cell>
          <cell r="I825">
            <v>93.14999999999999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172.0967879256966</v>
          </cell>
          <cell r="Q825">
            <v>3</v>
          </cell>
          <cell r="R825">
            <v>195.5645317337461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2.05</v>
          </cell>
          <cell r="G826">
            <v>2.7675</v>
          </cell>
          <cell r="H826">
            <v>1.15</v>
          </cell>
          <cell r="I826">
            <v>3.182625</v>
          </cell>
          <cell r="J826">
            <v>3.453148125</v>
          </cell>
          <cell r="K826">
            <v>4.31643515625</v>
          </cell>
          <cell r="L826">
            <v>1</v>
          </cell>
          <cell r="M826">
            <v>4.543615953947368</v>
          </cell>
          <cell r="N826">
            <v>4.7707967516447365</v>
          </cell>
          <cell r="O826">
            <v>5.345430534055727</v>
          </cell>
          <cell r="P826">
            <v>5.879973587461301</v>
          </cell>
          <cell r="Q826">
            <v>3</v>
          </cell>
          <cell r="R826">
            <v>6.681788167569659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1.15</v>
          </cell>
          <cell r="I827">
            <v>43.47</v>
          </cell>
          <cell r="J827">
            <v>47.16495</v>
          </cell>
          <cell r="K827">
            <v>58.95618749999999</v>
          </cell>
          <cell r="L827">
            <v>2</v>
          </cell>
          <cell r="M827">
            <v>65.506875</v>
          </cell>
          <cell r="N827">
            <v>68.78221875</v>
          </cell>
          <cell r="O827">
            <v>77.06691176470588</v>
          </cell>
          <cell r="P827">
            <v>84.77360294117648</v>
          </cell>
          <cell r="Q827">
            <v>3</v>
          </cell>
          <cell r="R827">
            <v>96.33363970588235</v>
          </cell>
        </row>
        <row r="828">
          <cell r="A828" t="str">
            <v>D242702</v>
          </cell>
          <cell r="C828" t="str">
            <v>GM</v>
          </cell>
          <cell r="D828" t="str">
            <v>Anillo sello </v>
          </cell>
          <cell r="E828">
            <v>1</v>
          </cell>
          <cell r="F828">
            <v>0.93</v>
          </cell>
          <cell r="G828">
            <v>1.2555</v>
          </cell>
          <cell r="H828">
            <v>1.15</v>
          </cell>
          <cell r="I828">
            <v>1.443825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</v>
          </cell>
          <cell r="N828">
            <v>2.6109168750000005</v>
          </cell>
          <cell r="O828">
            <v>2.92539705882353</v>
          </cell>
          <cell r="P828">
            <v>3.217936764705883</v>
          </cell>
          <cell r="Q828">
            <v>3</v>
          </cell>
          <cell r="R828">
            <v>3.656746323529412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1.15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</v>
          </cell>
          <cell r="O829">
            <v>7.196774767801856</v>
          </cell>
          <cell r="P829">
            <v>7.916452244582042</v>
          </cell>
          <cell r="Q829">
            <v>3</v>
          </cell>
          <cell r="R829">
            <v>8.99596845975232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5.899500000000001</v>
          </cell>
          <cell r="H830">
            <v>1.15</v>
          </cell>
          <cell r="I830">
            <v>6.784425000000001</v>
          </cell>
          <cell r="J830">
            <v>7.361101125</v>
          </cell>
          <cell r="K830">
            <v>9.20137640625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1.15</v>
          </cell>
          <cell r="I831">
            <v>1.661175</v>
          </cell>
          <cell r="J831">
            <v>1.802374875</v>
          </cell>
          <cell r="K831">
            <v>2.25296859375</v>
          </cell>
          <cell r="L831">
            <v>2</v>
          </cell>
          <cell r="M831">
            <v>2.5032984375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3.681321231617647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5.06</v>
          </cell>
          <cell r="G832">
            <v>6.8309999999999995</v>
          </cell>
          <cell r="H832">
            <v>1.15</v>
          </cell>
          <cell r="I832">
            <v>7.855649999999999</v>
          </cell>
          <cell r="J832">
            <v>8.523380249999999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1.15</v>
          </cell>
          <cell r="I833">
            <v>25.1505</v>
          </cell>
          <cell r="J833">
            <v>27.2882925</v>
          </cell>
          <cell r="K833">
            <v>34.110365625</v>
          </cell>
          <cell r="L833">
            <v>1</v>
          </cell>
          <cell r="M833">
            <v>35.90564802631579</v>
          </cell>
          <cell r="N833">
            <v>37.700930427631576</v>
          </cell>
          <cell r="O833">
            <v>42.24193885448916</v>
          </cell>
          <cell r="P833">
            <v>46.46613273993808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71.87400000000001</v>
          </cell>
          <cell r="H834">
            <v>1.15</v>
          </cell>
          <cell r="I834">
            <v>82.6551</v>
          </cell>
          <cell r="J834">
            <v>89.6807835</v>
          </cell>
          <cell r="K834">
            <v>112.100979375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1.15</v>
          </cell>
          <cell r="I835">
            <v>4275.585</v>
          </cell>
          <cell r="J835">
            <v>4639.009725</v>
          </cell>
          <cell r="K835">
            <v>5798.76215625</v>
          </cell>
          <cell r="L835">
            <v>1</v>
          </cell>
          <cell r="M835">
            <v>6103.960164473684</v>
          </cell>
          <cell r="N835">
            <v>6409.158172697368</v>
          </cell>
          <cell r="O835">
            <v>7181.129605263158</v>
          </cell>
          <cell r="P835">
            <v>7899.242565789475</v>
          </cell>
          <cell r="Q835">
            <v>3</v>
          </cell>
          <cell r="R835">
            <v>8976.412006578947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1.15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</v>
          </cell>
          <cell r="N836">
            <v>4379.591418009869</v>
          </cell>
          <cell r="O836">
            <v>4907.105230263158</v>
          </cell>
          <cell r="P836">
            <v>5397.815753289474</v>
          </cell>
          <cell r="Q836">
            <v>3</v>
          </cell>
          <cell r="R836">
            <v>6133.881537828947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</v>
          </cell>
          <cell r="H837">
            <v>1.15</v>
          </cell>
          <cell r="I837">
            <v>9.2529</v>
          </cell>
          <cell r="J837">
            <v>10.0393965</v>
          </cell>
          <cell r="K837">
            <v>12.549245625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</v>
          </cell>
          <cell r="H838">
            <v>1.15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5.1</v>
          </cell>
          <cell r="G839">
            <v>6.885</v>
          </cell>
          <cell r="H839">
            <v>1.15</v>
          </cell>
          <cell r="I839">
            <v>7.917749999999999</v>
          </cell>
          <cell r="J839">
            <v>8.590758749999999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17.546484375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1.15</v>
          </cell>
          <cell r="I840">
            <v>4117.23</v>
          </cell>
          <cell r="J840">
            <v>4467.194549999999</v>
          </cell>
          <cell r="K840">
            <v>5583.993187499998</v>
          </cell>
          <cell r="L840">
            <v>1</v>
          </cell>
          <cell r="M840">
            <v>5877.887565789472</v>
          </cell>
          <cell r="N840">
            <v>6171.781944078946</v>
          </cell>
          <cell r="O840">
            <v>6915.161842105262</v>
          </cell>
          <cell r="P840">
            <v>7606.678026315789</v>
          </cell>
          <cell r="Q840">
            <v>3</v>
          </cell>
          <cell r="R840">
            <v>8643.952302631576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</v>
          </cell>
          <cell r="H841">
            <v>1.15</v>
          </cell>
          <cell r="I841">
            <v>20.073825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1.15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57.98250000000001</v>
          </cell>
          <cell r="H843">
            <v>1.15</v>
          </cell>
          <cell r="I843">
            <v>66.67987500000001</v>
          </cell>
          <cell r="J843">
            <v>72.34766437500001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</v>
          </cell>
          <cell r="H844">
            <v>1.15</v>
          </cell>
          <cell r="I844">
            <v>4.890375</v>
          </cell>
          <cell r="J844">
            <v>5.3060568749999995</v>
          </cell>
          <cell r="K844">
            <v>6.632571093749999</v>
          </cell>
          <cell r="L844">
            <v>1</v>
          </cell>
          <cell r="M844">
            <v>6.981653782894736</v>
          </cell>
          <cell r="N844">
            <v>7.330736472039473</v>
          </cell>
          <cell r="O844">
            <v>8.213710332817337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</v>
          </cell>
          <cell r="G845">
            <v>12.217500000000001</v>
          </cell>
          <cell r="H845">
            <v>1.15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21.1727578125</v>
          </cell>
          <cell r="N845">
            <v>22.231395703125</v>
          </cell>
          <cell r="O845">
            <v>24.90912683823529</v>
          </cell>
          <cell r="P845">
            <v>27.400039522058822</v>
          </cell>
          <cell r="Q845">
            <v>3</v>
          </cell>
          <cell r="R845">
            <v>31.13640854779411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</v>
          </cell>
          <cell r="H846">
            <v>1.15</v>
          </cell>
          <cell r="I846">
            <v>11.83005</v>
          </cell>
          <cell r="J846">
            <v>12.83560425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21.85629206656347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1.15</v>
          </cell>
          <cell r="I847">
            <v>22.868325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</v>
          </cell>
          <cell r="N847">
            <v>36.184360078124996</v>
          </cell>
          <cell r="O847">
            <v>40.54270036764705</v>
          </cell>
          <cell r="P847">
            <v>44.596970404411756</v>
          </cell>
          <cell r="Q847">
            <v>3</v>
          </cell>
          <cell r="R847">
            <v>50.67837545955881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1.15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</v>
          </cell>
          <cell r="O848">
            <v>3.0768819659442723</v>
          </cell>
          <cell r="P848">
            <v>3.3845701625387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1.15</v>
          </cell>
          <cell r="I849">
            <v>2.0648250000000004</v>
          </cell>
          <cell r="J849">
            <v>2.240335125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</v>
          </cell>
          <cell r="P849">
            <v>3.814812132352942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</v>
          </cell>
          <cell r="H850">
            <v>1.15</v>
          </cell>
          <cell r="I850">
            <v>3.69495</v>
          </cell>
          <cell r="J850">
            <v>4.0090207499999995</v>
          </cell>
          <cell r="K850">
            <v>5.011275937499999</v>
          </cell>
          <cell r="L850">
            <v>1</v>
          </cell>
          <cell r="M850">
            <v>5.275027302631578</v>
          </cell>
          <cell r="N850">
            <v>5.538778667763157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2.8215</v>
          </cell>
          <cell r="H851">
            <v>1.15</v>
          </cell>
          <cell r="I851">
            <v>3.2447249999999994</v>
          </cell>
          <cell r="J851">
            <v>3.520526624999999</v>
          </cell>
          <cell r="K851">
            <v>4.400658281249998</v>
          </cell>
          <cell r="L851">
            <v>1</v>
          </cell>
          <cell r="M851">
            <v>4.632271874999999</v>
          </cell>
          <cell r="N851">
            <v>4.8638854687499995</v>
          </cell>
          <cell r="O851">
            <v>5.449731617647058</v>
          </cell>
          <cell r="P851">
            <v>5.994704779411764</v>
          </cell>
          <cell r="Q851">
            <v>3</v>
          </cell>
          <cell r="R851">
            <v>6.812164522058822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2.8215</v>
          </cell>
          <cell r="H852">
            <v>1</v>
          </cell>
          <cell r="I852">
            <v>2.8215</v>
          </cell>
          <cell r="J852">
            <v>2.8215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4.804411764705883</v>
          </cell>
          <cell r="Q852">
            <v>3</v>
          </cell>
          <cell r="R852">
            <v>5.459558823529411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1.15</v>
          </cell>
          <cell r="I853">
            <v>5.8218749999999995</v>
          </cell>
          <cell r="J853">
            <v>6.316734374999999</v>
          </cell>
          <cell r="K853">
            <v>7.895917968749999</v>
          </cell>
          <cell r="L853">
            <v>3</v>
          </cell>
          <cell r="M853">
            <v>9.289315257352941</v>
          </cell>
          <cell r="N853">
            <v>9.753781020220588</v>
          </cell>
          <cell r="O853">
            <v>10.928606185121108</v>
          </cell>
          <cell r="P853">
            <v>12.02146680363322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</v>
          </cell>
          <cell r="H854">
            <v>1.15</v>
          </cell>
          <cell r="I854">
            <v>3.493125</v>
          </cell>
          <cell r="J854">
            <v>3.790040625</v>
          </cell>
          <cell r="K854">
            <v>4.7375507812499995</v>
          </cell>
          <cell r="L854">
            <v>2</v>
          </cell>
          <cell r="M854">
            <v>5.2639453125</v>
          </cell>
          <cell r="N854">
            <v>5.527142578125</v>
          </cell>
          <cell r="O854">
            <v>6.192876838235294</v>
          </cell>
          <cell r="P854">
            <v>6.812164522058824</v>
          </cell>
          <cell r="Q854">
            <v>3</v>
          </cell>
          <cell r="R854">
            <v>7.741096047794117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</v>
          </cell>
          <cell r="L855">
            <v>1</v>
          </cell>
          <cell r="M855">
            <v>3.730263157894737</v>
          </cell>
          <cell r="N855">
            <v>3.916776315789474</v>
          </cell>
          <cell r="O855">
            <v>4.388544891640867</v>
          </cell>
          <cell r="P855">
            <v>4.8273993808049545</v>
          </cell>
          <cell r="Q855">
            <v>3</v>
          </cell>
          <cell r="R855">
            <v>5.485681114551084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1.15</v>
          </cell>
          <cell r="I856">
            <v>3.26025</v>
          </cell>
          <cell r="J856">
            <v>3.53737125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</v>
          </cell>
          <cell r="P856">
            <v>6.023387577399381</v>
          </cell>
          <cell r="Q856">
            <v>3</v>
          </cell>
          <cell r="R856">
            <v>6.844758610681114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</v>
          </cell>
          <cell r="L857">
            <v>1</v>
          </cell>
          <cell r="M857">
            <v>3.730263157894737</v>
          </cell>
          <cell r="N857">
            <v>3.916776315789474</v>
          </cell>
          <cell r="O857">
            <v>4.388544891640867</v>
          </cell>
          <cell r="P857">
            <v>4.8273993808049545</v>
          </cell>
          <cell r="Q857">
            <v>3</v>
          </cell>
          <cell r="R857">
            <v>5.485681114551084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</v>
          </cell>
          <cell r="H858">
            <v>1.15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</v>
          </cell>
          <cell r="P858">
            <v>5.162903637770898</v>
          </cell>
          <cell r="Q858">
            <v>3</v>
          </cell>
          <cell r="R858">
            <v>5.866935952012384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6.507000000000001</v>
          </cell>
          <cell r="H859">
            <v>1.15</v>
          </cell>
          <cell r="I859">
            <v>7.48305</v>
          </cell>
          <cell r="J859">
            <v>8.119109250000001</v>
          </cell>
          <cell r="K859">
            <v>10.148886562500001</v>
          </cell>
          <cell r="L859">
            <v>2</v>
          </cell>
          <cell r="M859">
            <v>11.276540625</v>
          </cell>
          <cell r="N859">
            <v>11.84036765625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</v>
          </cell>
          <cell r="H860">
            <v>1.15</v>
          </cell>
          <cell r="I860">
            <v>5.1543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7.767243749999999</v>
          </cell>
          <cell r="N860">
            <v>8.155605937499999</v>
          </cell>
          <cell r="O860">
            <v>9.13793382352941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</v>
          </cell>
          <cell r="H861">
            <v>1.15</v>
          </cell>
          <cell r="I861">
            <v>2.57715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</v>
          </cell>
          <cell r="O861">
            <v>4.328494969040247</v>
          </cell>
          <cell r="P861">
            <v>4.761344465944273</v>
          </cell>
          <cell r="Q861">
            <v>3</v>
          </cell>
          <cell r="R861">
            <v>5.410618711300309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</v>
          </cell>
          <cell r="H862">
            <v>1.15</v>
          </cell>
          <cell r="I862">
            <v>5.4027</v>
          </cell>
          <cell r="J862">
            <v>5.8619295000000005</v>
          </cell>
          <cell r="K862">
            <v>7.327411875</v>
          </cell>
          <cell r="L862">
            <v>2</v>
          </cell>
          <cell r="M862">
            <v>8.14156875</v>
          </cell>
          <cell r="N862">
            <v>8.5486471875</v>
          </cell>
          <cell r="O862">
            <v>9.578316176470588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</v>
          </cell>
          <cell r="H863">
            <v>1.15</v>
          </cell>
          <cell r="I863">
            <v>5.4027</v>
          </cell>
          <cell r="J863">
            <v>5.8619295000000005</v>
          </cell>
          <cell r="K863">
            <v>7.327411875</v>
          </cell>
          <cell r="L863">
            <v>2</v>
          </cell>
          <cell r="M863">
            <v>8.14156875</v>
          </cell>
          <cell r="N863">
            <v>8.5486471875</v>
          </cell>
          <cell r="O863">
            <v>9.578316176470588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</v>
          </cell>
          <cell r="H864">
            <v>1.15</v>
          </cell>
          <cell r="I864">
            <v>10.106775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</v>
          </cell>
          <cell r="H865">
            <v>1.15</v>
          </cell>
          <cell r="I865">
            <v>6.582600000000001</v>
          </cell>
          <cell r="J865">
            <v>7.142121000000001</v>
          </cell>
          <cell r="K865">
            <v>8.92765125</v>
          </cell>
          <cell r="L865">
            <v>2</v>
          </cell>
          <cell r="M865">
            <v>9.9196125</v>
          </cell>
          <cell r="N865">
            <v>10.415593125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1.15</v>
          </cell>
          <cell r="I866">
            <v>12.000825</v>
          </cell>
          <cell r="J866">
            <v>13.020895125000001</v>
          </cell>
          <cell r="K866">
            <v>16.27611890625</v>
          </cell>
          <cell r="L866">
            <v>2</v>
          </cell>
          <cell r="M866">
            <v>18.0845765625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8.802</v>
          </cell>
          <cell r="H867">
            <v>1.15</v>
          </cell>
          <cell r="I867">
            <v>10.1223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</v>
          </cell>
          <cell r="H868">
            <v>1.15</v>
          </cell>
          <cell r="I868">
            <v>7.0638749999999995</v>
          </cell>
          <cell r="J868">
            <v>7.6643043749999995</v>
          </cell>
          <cell r="K868">
            <v>9.580380468749999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</v>
          </cell>
          <cell r="H869">
            <v>1.15</v>
          </cell>
          <cell r="I869">
            <v>7.0638749999999995</v>
          </cell>
          <cell r="J869">
            <v>7.6643043749999995</v>
          </cell>
          <cell r="K869">
            <v>9.580380468749999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</v>
          </cell>
          <cell r="H870">
            <v>1.15</v>
          </cell>
          <cell r="I870">
            <v>7.0638749999999995</v>
          </cell>
          <cell r="J870">
            <v>7.6643043749999995</v>
          </cell>
          <cell r="K870">
            <v>9.580380468749999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</v>
          </cell>
          <cell r="H871">
            <v>1.15</v>
          </cell>
          <cell r="I871">
            <v>7.0638749999999995</v>
          </cell>
          <cell r="J871">
            <v>7.6643043749999995</v>
          </cell>
          <cell r="K871">
            <v>9.580380468749999</v>
          </cell>
          <cell r="L871">
            <v>2</v>
          </cell>
          <cell r="M871">
            <v>10.6448671875</v>
          </cell>
          <cell r="N871">
            <v>11.177110546875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5.737500000000001</v>
          </cell>
          <cell r="H872">
            <v>1</v>
          </cell>
          <cell r="I872">
            <v>5.737500000000001</v>
          </cell>
          <cell r="J872">
            <v>5.737500000000001</v>
          </cell>
          <cell r="K872">
            <v>7.171875000000001</v>
          </cell>
          <cell r="L872">
            <v>1</v>
          </cell>
          <cell r="M872">
            <v>7.549342105263159</v>
          </cell>
          <cell r="N872">
            <v>7.926809210526318</v>
          </cell>
          <cell r="O872">
            <v>8.881578947368423</v>
          </cell>
          <cell r="P872">
            <v>9.769736842105265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</v>
          </cell>
          <cell r="H873">
            <v>1.15</v>
          </cell>
          <cell r="I873">
            <v>21.471075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</v>
          </cell>
          <cell r="P873">
            <v>39.66830961687306</v>
          </cell>
          <cell r="Q873">
            <v>3</v>
          </cell>
          <cell r="R873">
            <v>45.07762456462847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2.28</v>
          </cell>
          <cell r="G874">
            <v>3.078</v>
          </cell>
          <cell r="H874">
            <v>1.15</v>
          </cell>
          <cell r="I874">
            <v>3.5396999999999994</v>
          </cell>
          <cell r="J874">
            <v>3.8405744999999993</v>
          </cell>
          <cell r="K874">
            <v>4.800718124999999</v>
          </cell>
          <cell r="L874">
            <v>1</v>
          </cell>
          <cell r="M874">
            <v>5.053387499999999</v>
          </cell>
          <cell r="N874">
            <v>5.306056874999999</v>
          </cell>
          <cell r="O874">
            <v>5.9451617647058805</v>
          </cell>
          <cell r="P874">
            <v>6.539677941176469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1.15</v>
          </cell>
          <cell r="I875">
            <v>20.772450000000003</v>
          </cell>
          <cell r="J875">
            <v>22.53810825</v>
          </cell>
          <cell r="K875">
            <v>28.1726353125</v>
          </cell>
          <cell r="L875">
            <v>2</v>
          </cell>
          <cell r="M875">
            <v>31.302928124999998</v>
          </cell>
          <cell r="N875">
            <v>32.86807453125</v>
          </cell>
          <cell r="O875">
            <v>36.82697426470588</v>
          </cell>
          <cell r="P875">
            <v>40.50967169117647</v>
          </cell>
          <cell r="Q875">
            <v>3</v>
          </cell>
          <cell r="R875">
            <v>46.03371783088235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1.15</v>
          </cell>
          <cell r="I876">
            <v>14.640075</v>
          </cell>
          <cell r="J876">
            <v>15.884481374999998</v>
          </cell>
          <cell r="K876">
            <v>19.85560171875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7.803000000000001</v>
          </cell>
          <cell r="H877">
            <v>1.15</v>
          </cell>
          <cell r="I877">
            <v>8.97345</v>
          </cell>
          <cell r="J877">
            <v>9.73619325</v>
          </cell>
          <cell r="K877">
            <v>12.1702415625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15.07150657894737</v>
          </cell>
          <cell r="P877">
            <v>16.57865723684211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</v>
          </cell>
          <cell r="H878">
            <v>1.15</v>
          </cell>
          <cell r="I878">
            <v>6.61365</v>
          </cell>
          <cell r="J878">
            <v>7.17581025</v>
          </cell>
          <cell r="K878">
            <v>8.969762812499999</v>
          </cell>
          <cell r="L878">
            <v>2</v>
          </cell>
          <cell r="M878">
            <v>9.966403125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14.65647518382353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1.15</v>
          </cell>
          <cell r="I879">
            <v>36.1422</v>
          </cell>
          <cell r="J879">
            <v>39.214287</v>
          </cell>
          <cell r="K879">
            <v>49.017858749999995</v>
          </cell>
          <cell r="L879">
            <v>1</v>
          </cell>
          <cell r="M879">
            <v>51.59774605263158</v>
          </cell>
          <cell r="N879">
            <v>54.17763335526316</v>
          </cell>
          <cell r="O879">
            <v>60.7032306501548</v>
          </cell>
          <cell r="P879">
            <v>66.77355371517028</v>
          </cell>
          <cell r="Q879">
            <v>3</v>
          </cell>
          <cell r="R879">
            <v>75.8790383126935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1.15</v>
          </cell>
          <cell r="I880">
            <v>25.755974999999996</v>
          </cell>
          <cell r="J880">
            <v>27.945232874999995</v>
          </cell>
          <cell r="K880">
            <v>34.93154109374999</v>
          </cell>
          <cell r="L880">
            <v>2</v>
          </cell>
          <cell r="M880">
            <v>38.81282343749999</v>
          </cell>
          <cell r="N880">
            <v>40.753464609374994</v>
          </cell>
          <cell r="O880">
            <v>45.66214522058823</v>
          </cell>
          <cell r="P880">
            <v>50.22835974264706</v>
          </cell>
          <cell r="Q880">
            <v>3</v>
          </cell>
          <cell r="R880">
            <v>57.07768152573529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1.15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19.90325427631579</v>
          </cell>
          <cell r="N881">
            <v>20.89841699013158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1.15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21.25525707236842</v>
          </cell>
          <cell r="N882">
            <v>22.318019925986842</v>
          </cell>
          <cell r="O882">
            <v>25.00618479102167</v>
          </cell>
          <cell r="P882">
            <v>27.50680327012384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1.15</v>
          </cell>
          <cell r="I883">
            <v>43.733925000000006</v>
          </cell>
          <cell r="J883">
            <v>47.451308625</v>
          </cell>
          <cell r="K883">
            <v>59.31413578125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</v>
          </cell>
          <cell r="P883">
            <v>80.79944193111457</v>
          </cell>
          <cell r="Q883">
            <v>3</v>
          </cell>
          <cell r="R883">
            <v>91.81754764899382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1.15</v>
          </cell>
          <cell r="I884">
            <v>43.733925000000006</v>
          </cell>
          <cell r="J884">
            <v>47.451308625</v>
          </cell>
          <cell r="K884">
            <v>59.31413578125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</v>
          </cell>
          <cell r="P884">
            <v>80.79944193111457</v>
          </cell>
          <cell r="Q884">
            <v>3</v>
          </cell>
          <cell r="R884">
            <v>91.81754764899382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1.15</v>
          </cell>
          <cell r="I885">
            <v>43.733925000000006</v>
          </cell>
          <cell r="J885">
            <v>47.451308625</v>
          </cell>
          <cell r="K885">
            <v>59.31413578125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</v>
          </cell>
          <cell r="P885">
            <v>80.79944193111457</v>
          </cell>
          <cell r="Q885">
            <v>3</v>
          </cell>
          <cell r="R885">
            <v>91.81754764899382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1.15</v>
          </cell>
          <cell r="I886">
            <v>43.733925000000006</v>
          </cell>
          <cell r="J886">
            <v>47.451308625</v>
          </cell>
          <cell r="K886">
            <v>59.31413578125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</v>
          </cell>
          <cell r="P886">
            <v>80.79944193111457</v>
          </cell>
          <cell r="Q886">
            <v>3</v>
          </cell>
          <cell r="R886">
            <v>91.81754764899382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1.15</v>
          </cell>
          <cell r="I887">
            <v>29.078325</v>
          </cell>
          <cell r="J887">
            <v>31.549982625</v>
          </cell>
          <cell r="K887">
            <v>39.437478281249994</v>
          </cell>
          <cell r="L887">
            <v>2</v>
          </cell>
          <cell r="M887">
            <v>43.81942031249999</v>
          </cell>
          <cell r="N887">
            <v>46.010391328124996</v>
          </cell>
          <cell r="O887">
            <v>51.55225919117646</v>
          </cell>
          <cell r="P887">
            <v>56.70748511029411</v>
          </cell>
          <cell r="Q887">
            <v>3</v>
          </cell>
          <cell r="R887">
            <v>64.44032398897058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</v>
          </cell>
          <cell r="H888">
            <v>1.15</v>
          </cell>
          <cell r="I888">
            <v>39.96135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</v>
          </cell>
          <cell r="P888">
            <v>73.82952202012385</v>
          </cell>
          <cell r="Q888">
            <v>3</v>
          </cell>
          <cell r="R888">
            <v>83.89718411377709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1.15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</v>
          </cell>
          <cell r="H890">
            <v>1.15</v>
          </cell>
          <cell r="I890">
            <v>33.13035</v>
          </cell>
          <cell r="J890">
            <v>35.94642975</v>
          </cell>
          <cell r="K890">
            <v>44.9330371875</v>
          </cell>
          <cell r="L890">
            <v>1</v>
          </cell>
          <cell r="M890">
            <v>47.29793388157895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4.1175</v>
          </cell>
          <cell r="H891">
            <v>1.15</v>
          </cell>
          <cell r="I891">
            <v>4.735124999999999</v>
          </cell>
          <cell r="J891">
            <v>5.137610624999999</v>
          </cell>
          <cell r="K891">
            <v>6.422013281249998</v>
          </cell>
          <cell r="L891">
            <v>2</v>
          </cell>
          <cell r="M891">
            <v>7.135570312499998</v>
          </cell>
          <cell r="N891">
            <v>7.492348828124998</v>
          </cell>
          <cell r="O891">
            <v>8.394788602941174</v>
          </cell>
          <cell r="P891">
            <v>9.234267463235293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</v>
          </cell>
          <cell r="G892">
            <v>50.65200000000001</v>
          </cell>
          <cell r="H892">
            <v>1.15</v>
          </cell>
          <cell r="I892">
            <v>58.24980000000001</v>
          </cell>
          <cell r="J892">
            <v>63.20103300000001</v>
          </cell>
          <cell r="K892">
            <v>79.00129125000001</v>
          </cell>
          <cell r="L892">
            <v>1</v>
          </cell>
          <cell r="M892">
            <v>83.15925394736843</v>
          </cell>
          <cell r="N892">
            <v>87.31721664473685</v>
          </cell>
          <cell r="O892">
            <v>97.83441640866874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1.15</v>
          </cell>
          <cell r="I893">
            <v>13.025475</v>
          </cell>
          <cell r="J893">
            <v>14.132640375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</v>
          </cell>
          <cell r="H894">
            <v>1.15</v>
          </cell>
          <cell r="I894">
            <v>63.000449999999994</v>
          </cell>
          <cell r="J894">
            <v>68.35548825</v>
          </cell>
          <cell r="K894">
            <v>85.44436031249998</v>
          </cell>
          <cell r="L894">
            <v>1</v>
          </cell>
          <cell r="M894">
            <v>89.94143190789472</v>
          </cell>
          <cell r="N894">
            <v>94.43850350328947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1.15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30.53309921052631</v>
          </cell>
          <cell r="O895">
            <v>34.21075541795665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47.169</v>
          </cell>
          <cell r="H896">
            <v>1.15</v>
          </cell>
          <cell r="I896">
            <v>54.24434999999999</v>
          </cell>
          <cell r="J896">
            <v>58.855119749999986</v>
          </cell>
          <cell r="K896">
            <v>73.56889968749998</v>
          </cell>
          <cell r="L896">
            <v>1</v>
          </cell>
          <cell r="M896">
            <v>77.44094703947367</v>
          </cell>
          <cell r="N896">
            <v>81.31299439144736</v>
          </cell>
          <cell r="O896">
            <v>91.10699651702785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1.15</v>
          </cell>
          <cell r="I897">
            <v>59.227875000000004</v>
          </cell>
          <cell r="J897">
            <v>64.26224437500001</v>
          </cell>
          <cell r="K897">
            <v>80.32780546875</v>
          </cell>
          <cell r="L897">
            <v>1</v>
          </cell>
          <cell r="M897">
            <v>84.55558470394737</v>
          </cell>
          <cell r="N897">
            <v>88.78336393914475</v>
          </cell>
          <cell r="O897">
            <v>99.4771584752322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58.104</v>
          </cell>
          <cell r="H898">
            <v>1.15</v>
          </cell>
          <cell r="I898">
            <v>66.8196</v>
          </cell>
          <cell r="J898">
            <v>72.49926599999999</v>
          </cell>
          <cell r="K898">
            <v>90.62408249999999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</v>
          </cell>
          <cell r="H899">
            <v>1.15</v>
          </cell>
          <cell r="I899">
            <v>86.489775</v>
          </cell>
          <cell r="J899">
            <v>93.84140587499999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</v>
          </cell>
          <cell r="H900">
            <v>1.15</v>
          </cell>
          <cell r="I900">
            <v>31.51575</v>
          </cell>
          <cell r="J900">
            <v>34.19458875</v>
          </cell>
          <cell r="K900">
            <v>42.743235937499996</v>
          </cell>
          <cell r="L900">
            <v>2</v>
          </cell>
          <cell r="M900">
            <v>47.492484375</v>
          </cell>
          <cell r="N900">
            <v>49.86710859375</v>
          </cell>
          <cell r="O900">
            <v>55.87351102941176</v>
          </cell>
          <cell r="P900">
            <v>61.460862132352936</v>
          </cell>
          <cell r="Q900">
            <v>3</v>
          </cell>
          <cell r="R900">
            <v>69.8418887867647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</v>
          </cell>
          <cell r="H901">
            <v>1.15</v>
          </cell>
          <cell r="I901">
            <v>48.577725</v>
          </cell>
          <cell r="J901">
            <v>52.706831625</v>
          </cell>
          <cell r="K901">
            <v>65.88353953125</v>
          </cell>
          <cell r="L901">
            <v>3</v>
          </cell>
          <cell r="M901">
            <v>77.51004650735294</v>
          </cell>
          <cell r="N901">
            <v>81.38554883272059</v>
          </cell>
          <cell r="O901">
            <v>91.18829000865053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1.15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</v>
          </cell>
          <cell r="N902">
            <v>42.98371512335525</v>
          </cell>
          <cell r="O902">
            <v>48.1610253482972</v>
          </cell>
          <cell r="P902">
            <v>52.977127883126926</v>
          </cell>
          <cell r="Q902">
            <v>3</v>
          </cell>
          <cell r="R902">
            <v>60.2012816853715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</v>
          </cell>
          <cell r="H903">
            <v>1.15</v>
          </cell>
          <cell r="I903">
            <v>39.107475</v>
          </cell>
          <cell r="J903">
            <v>42.431610375</v>
          </cell>
          <cell r="K903">
            <v>53.039512968749996</v>
          </cell>
          <cell r="L903">
            <v>1</v>
          </cell>
          <cell r="M903">
            <v>55.83106628289474</v>
          </cell>
          <cell r="N903">
            <v>58.62261959703948</v>
          </cell>
          <cell r="O903">
            <v>65.68360739164088</v>
          </cell>
          <cell r="P903">
            <v>72.25196813080497</v>
          </cell>
          <cell r="Q903">
            <v>3</v>
          </cell>
          <cell r="R903">
            <v>82.10450923955109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1.15</v>
          </cell>
          <cell r="I904">
            <v>21.33135</v>
          </cell>
          <cell r="J904">
            <v>23.14451475</v>
          </cell>
          <cell r="K904">
            <v>28.9306434375</v>
          </cell>
          <cell r="L904">
            <v>1</v>
          </cell>
          <cell r="M904">
            <v>30.45330888157895</v>
          </cell>
          <cell r="N904">
            <v>31.975974325657898</v>
          </cell>
          <cell r="O904">
            <v>35.82742221362229</v>
          </cell>
          <cell r="P904">
            <v>39.41016443498452</v>
          </cell>
          <cell r="Q904">
            <v>3</v>
          </cell>
          <cell r="R904">
            <v>44.78427776702786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53.79750000000001</v>
          </cell>
          <cell r="H905">
            <v>1.15</v>
          </cell>
          <cell r="I905">
            <v>61.867125</v>
          </cell>
          <cell r="J905">
            <v>67.125830625</v>
          </cell>
          <cell r="K905">
            <v>83.90728828125</v>
          </cell>
          <cell r="L905">
            <v>1</v>
          </cell>
          <cell r="M905">
            <v>88.32346134868422</v>
          </cell>
          <cell r="N905">
            <v>92.73963441611843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1.15</v>
          </cell>
          <cell r="I906">
            <v>23.706674999999997</v>
          </cell>
          <cell r="J906">
            <v>25.721742374999994</v>
          </cell>
          <cell r="K906">
            <v>32.15217796874999</v>
          </cell>
          <cell r="L906">
            <v>1</v>
          </cell>
          <cell r="M906">
            <v>33.8443978618421</v>
          </cell>
          <cell r="N906">
            <v>35.536617754934205</v>
          </cell>
          <cell r="O906">
            <v>39.8169386609907</v>
          </cell>
          <cell r="P906">
            <v>43.79863252708977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</v>
          </cell>
          <cell r="H907">
            <v>1.15</v>
          </cell>
          <cell r="I907">
            <v>8.771625</v>
          </cell>
          <cell r="J907">
            <v>9.517213125</v>
          </cell>
          <cell r="K907">
            <v>11.896516406249999</v>
          </cell>
          <cell r="L907">
            <v>1</v>
          </cell>
          <cell r="M907">
            <v>12.52264884868421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1.15</v>
          </cell>
          <cell r="I908">
            <v>170.7129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</v>
          </cell>
          <cell r="P908">
            <v>315.3960466718266</v>
          </cell>
          <cell r="Q908">
            <v>3</v>
          </cell>
          <cell r="R908">
            <v>358.404598490712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</v>
          </cell>
          <cell r="H909">
            <v>1.15</v>
          </cell>
          <cell r="I909">
            <v>31.298399999999997</v>
          </cell>
          <cell r="J909">
            <v>33.958763999999995</v>
          </cell>
          <cell r="K909">
            <v>42.44845499999999</v>
          </cell>
          <cell r="L909">
            <v>1</v>
          </cell>
          <cell r="M909">
            <v>44.68258421052631</v>
          </cell>
          <cell r="N909">
            <v>46.91671342105263</v>
          </cell>
          <cell r="O909">
            <v>52.567746130030955</v>
          </cell>
          <cell r="P909">
            <v>57.82452074303406</v>
          </cell>
          <cell r="Q909">
            <v>3</v>
          </cell>
          <cell r="R909">
            <v>65.70968266253868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1.15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1.15</v>
          </cell>
          <cell r="I911">
            <v>35.567775</v>
          </cell>
          <cell r="J911">
            <v>38.591035874999996</v>
          </cell>
          <cell r="K911">
            <v>48.23879484374999</v>
          </cell>
          <cell r="L911">
            <v>1</v>
          </cell>
          <cell r="M911">
            <v>50.77767878289473</v>
          </cell>
          <cell r="N911">
            <v>53.31656272203947</v>
          </cell>
          <cell r="O911">
            <v>59.73844562693498</v>
          </cell>
          <cell r="P911">
            <v>65.71229018962849</v>
          </cell>
          <cell r="Q911">
            <v>3</v>
          </cell>
          <cell r="R911">
            <v>74.67305703366873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1.15</v>
          </cell>
          <cell r="I912">
            <v>217.210275</v>
          </cell>
          <cell r="J912">
            <v>235.67314837499998</v>
          </cell>
          <cell r="K912">
            <v>294.59143546875</v>
          </cell>
          <cell r="L912">
            <v>1</v>
          </cell>
          <cell r="M912">
            <v>310.0962478618421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8.248500000000002</v>
          </cell>
          <cell r="H913">
            <v>1.15</v>
          </cell>
          <cell r="I913">
            <v>9.485775000000002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14.21930153782895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</v>
          </cell>
          <cell r="H914">
            <v>1.15</v>
          </cell>
          <cell r="I914">
            <v>84.42495000000001</v>
          </cell>
          <cell r="J914">
            <v>91.60107075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155.9770554566564</v>
          </cell>
          <cell r="Q914">
            <v>3</v>
          </cell>
          <cell r="R914">
            <v>177.2466539280186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</v>
          </cell>
          <cell r="H915">
            <v>1.15</v>
          </cell>
          <cell r="I915">
            <v>139.44555</v>
          </cell>
          <cell r="J915">
            <v>151.29842175</v>
          </cell>
          <cell r="K915">
            <v>189.12302718749999</v>
          </cell>
          <cell r="L915">
            <v>1</v>
          </cell>
          <cell r="M915">
            <v>199.0768707236842</v>
          </cell>
          <cell r="N915">
            <v>209.03071425986843</v>
          </cell>
          <cell r="O915">
            <v>234.20808320433437</v>
          </cell>
          <cell r="P915">
            <v>257.6288915247678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1.15</v>
          </cell>
          <cell r="I916">
            <v>68.77574999999999</v>
          </cell>
          <cell r="J916">
            <v>74.62168874999999</v>
          </cell>
          <cell r="K916">
            <v>93.27711093749998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150.957</v>
          </cell>
          <cell r="H917">
            <v>1.15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</v>
          </cell>
          <cell r="O917">
            <v>291.5736791795665</v>
          </cell>
          <cell r="P917">
            <v>320.7310470975232</v>
          </cell>
          <cell r="Q917">
            <v>3</v>
          </cell>
          <cell r="R917">
            <v>364.4670989744581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1.15</v>
          </cell>
          <cell r="I918">
            <v>120.241125</v>
          </cell>
          <cell r="J918">
            <v>122.6459475</v>
          </cell>
          <cell r="K918">
            <v>144.28935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87.23700000000001</v>
          </cell>
          <cell r="H919">
            <v>1.15</v>
          </cell>
          <cell r="I919">
            <v>100.32255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168.4984005417957</v>
          </cell>
          <cell r="P919">
            <v>185.34824059597528</v>
          </cell>
          <cell r="Q919">
            <v>3</v>
          </cell>
          <cell r="R919">
            <v>210.6230006772446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1.15</v>
          </cell>
          <cell r="I920">
            <v>136.138725</v>
          </cell>
          <cell r="J920">
            <v>147.710516625</v>
          </cell>
          <cell r="K920">
            <v>184.63814578125</v>
          </cell>
          <cell r="L920">
            <v>1</v>
          </cell>
          <cell r="M920">
            <v>194.3559429276316</v>
          </cell>
          <cell r="N920">
            <v>204.0737400740132</v>
          </cell>
          <cell r="O920">
            <v>228.654050503096</v>
          </cell>
          <cell r="P920">
            <v>251.5194555534056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</v>
          </cell>
          <cell r="H921">
            <v>1.15</v>
          </cell>
          <cell r="I921">
            <v>85.620375</v>
          </cell>
          <cell r="J921">
            <v>92.898106875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51.354</v>
          </cell>
          <cell r="H922">
            <v>1.15</v>
          </cell>
          <cell r="I922">
            <v>59.05709999999999</v>
          </cell>
          <cell r="J922">
            <v>64.07695349999999</v>
          </cell>
          <cell r="K922">
            <v>80.09619187499997</v>
          </cell>
          <cell r="L922">
            <v>1</v>
          </cell>
          <cell r="M922">
            <v>84.3117809210526</v>
          </cell>
          <cell r="N922">
            <v>88.52736996710523</v>
          </cell>
          <cell r="O922">
            <v>99.19033049535601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1.15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324.3003170955882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</v>
          </cell>
          <cell r="H924">
            <v>1.15</v>
          </cell>
          <cell r="I924">
            <v>41.032575</v>
          </cell>
          <cell r="J924">
            <v>44.520343875</v>
          </cell>
          <cell r="K924">
            <v>55.65042984375</v>
          </cell>
          <cell r="L924">
            <v>1</v>
          </cell>
          <cell r="M924">
            <v>58.57939983552632</v>
          </cell>
          <cell r="N924">
            <v>61.50836982730264</v>
          </cell>
          <cell r="O924">
            <v>68.91694098297214</v>
          </cell>
          <cell r="P924">
            <v>75.80863508126936</v>
          </cell>
          <cell r="Q924">
            <v>3</v>
          </cell>
          <cell r="R924">
            <v>86.14617622871516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</v>
          </cell>
          <cell r="H925">
            <v>1.15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298.99209375</v>
          </cell>
          <cell r="N925">
            <v>313.9416984375</v>
          </cell>
          <cell r="O925">
            <v>351.7554044117647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1.15</v>
          </cell>
          <cell r="I926">
            <v>157.01985000000002</v>
          </cell>
          <cell r="J926">
            <v>170.36653725000002</v>
          </cell>
          <cell r="K926">
            <v>212.9581715625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</v>
          </cell>
          <cell r="P926">
            <v>306.2143643382354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45.17100000000001</v>
          </cell>
          <cell r="H927">
            <v>1.15</v>
          </cell>
          <cell r="I927">
            <v>51.946650000000005</v>
          </cell>
          <cell r="J927">
            <v>56.36211525</v>
          </cell>
          <cell r="K927">
            <v>70.4526440625</v>
          </cell>
          <cell r="L927">
            <v>1</v>
          </cell>
          <cell r="M927">
            <v>74.16067796052631</v>
          </cell>
          <cell r="N927">
            <v>77.86871185855263</v>
          </cell>
          <cell r="O927">
            <v>87.24785642414861</v>
          </cell>
          <cell r="P927">
            <v>95.97264206656348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76.24</v>
          </cell>
          <cell r="G928">
            <v>102.924</v>
          </cell>
          <cell r="H928">
            <v>1.15</v>
          </cell>
          <cell r="I928">
            <v>118.3626</v>
          </cell>
          <cell r="J928">
            <v>128.423421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248.4973316563467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1.15</v>
          </cell>
          <cell r="I929">
            <v>132.83190000000002</v>
          </cell>
          <cell r="J929">
            <v>144.1226115</v>
          </cell>
          <cell r="K929">
            <v>180.153264375</v>
          </cell>
          <cell r="L929">
            <v>1</v>
          </cell>
          <cell r="M929">
            <v>189.63501513157894</v>
          </cell>
          <cell r="N929">
            <v>199.1167658881579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1.15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299.9959916795665</v>
          </cell>
          <cell r="P930">
            <v>329.99559084752315</v>
          </cell>
          <cell r="Q930">
            <v>3</v>
          </cell>
          <cell r="R930">
            <v>374.9949895994581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1.15</v>
          </cell>
          <cell r="I931">
            <v>156.321225</v>
          </cell>
          <cell r="J931">
            <v>169.608529125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234.3275731332237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1.15</v>
          </cell>
          <cell r="I932">
            <v>266.1606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353.0130063157895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1.15</v>
          </cell>
          <cell r="I933">
            <v>140.672025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</v>
          </cell>
          <cell r="P933">
            <v>259.89483256578944</v>
          </cell>
          <cell r="Q933">
            <v>3</v>
          </cell>
          <cell r="R933">
            <v>295.3350370065789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1.15</v>
          </cell>
          <cell r="I934">
            <v>239.36445</v>
          </cell>
          <cell r="J934">
            <v>259.71042825</v>
          </cell>
          <cell r="K934">
            <v>324.6380353125</v>
          </cell>
          <cell r="L934">
            <v>1</v>
          </cell>
          <cell r="M934">
            <v>341.7242476973684</v>
          </cell>
          <cell r="N934">
            <v>358.81046008223683</v>
          </cell>
          <cell r="O934">
            <v>402.0285267027864</v>
          </cell>
          <cell r="P934">
            <v>442.23137937306507</v>
          </cell>
          <cell r="Q934">
            <v>3</v>
          </cell>
          <cell r="R934">
            <v>502.535658378483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</v>
          </cell>
          <cell r="H935">
            <v>1.15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</v>
          </cell>
          <cell r="P935">
            <v>312.4990840750774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1.15</v>
          </cell>
          <cell r="I936">
            <v>513.84645</v>
          </cell>
          <cell r="J936">
            <v>557.52339825</v>
          </cell>
          <cell r="K936">
            <v>696.9042478125</v>
          </cell>
          <cell r="L936">
            <v>1</v>
          </cell>
          <cell r="M936">
            <v>733.5834187500001</v>
          </cell>
          <cell r="N936">
            <v>770.2625896875002</v>
          </cell>
          <cell r="O936">
            <v>863.0393161764707</v>
          </cell>
          <cell r="P936">
            <v>949.3432477941178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</v>
          </cell>
          <cell r="H937">
            <v>1.15</v>
          </cell>
          <cell r="I937">
            <v>66.66435</v>
          </cell>
          <cell r="J937">
            <v>72.33081975</v>
          </cell>
          <cell r="K937">
            <v>90.4135246875</v>
          </cell>
          <cell r="L937">
            <v>1</v>
          </cell>
          <cell r="M937">
            <v>95.17213125</v>
          </cell>
          <cell r="N937">
            <v>99.93073781250001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1.15</v>
          </cell>
          <cell r="I938">
            <v>279.71392499999996</v>
          </cell>
          <cell r="J938">
            <v>303.48960862499996</v>
          </cell>
          <cell r="K938">
            <v>379.3620107812499</v>
          </cell>
          <cell r="L938">
            <v>1</v>
          </cell>
          <cell r="M938">
            <v>399.32843240131575</v>
          </cell>
          <cell r="N938">
            <v>419.2948540213816</v>
          </cell>
          <cell r="O938">
            <v>469.79815576625384</v>
          </cell>
          <cell r="P938">
            <v>516.7779713428793</v>
          </cell>
          <cell r="Q938">
            <v>3</v>
          </cell>
          <cell r="R938">
            <v>587.2476947078172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</v>
          </cell>
          <cell r="H939">
            <v>1.15</v>
          </cell>
          <cell r="I939">
            <v>327.406725</v>
          </cell>
          <cell r="J939">
            <v>355.23629662499997</v>
          </cell>
          <cell r="K939">
            <v>444.0453707812499</v>
          </cell>
          <cell r="L939">
            <v>1</v>
          </cell>
          <cell r="M939">
            <v>467.4161797697368</v>
          </cell>
          <cell r="N939">
            <v>490.7869887582237</v>
          </cell>
          <cell r="O939">
            <v>549.9013879643962</v>
          </cell>
          <cell r="P939">
            <v>604.8915267608359</v>
          </cell>
          <cell r="Q939">
            <v>3</v>
          </cell>
          <cell r="R939">
            <v>687.3767349554953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</v>
          </cell>
          <cell r="H940">
            <v>1.15</v>
          </cell>
          <cell r="I940">
            <v>57.178574999999995</v>
          </cell>
          <cell r="J940">
            <v>62.03875387499999</v>
          </cell>
          <cell r="K940">
            <v>77.54844234374998</v>
          </cell>
          <cell r="L940">
            <v>2</v>
          </cell>
          <cell r="M940">
            <v>86.16493593749998</v>
          </cell>
          <cell r="N940">
            <v>90.47318273437497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1.15</v>
          </cell>
          <cell r="I941">
            <v>148.76055</v>
          </cell>
          <cell r="J941">
            <v>161.40519675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274.8385703173375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</v>
          </cell>
          <cell r="G942">
            <v>399.22200000000004</v>
          </cell>
          <cell r="H942">
            <v>1.15</v>
          </cell>
          <cell r="I942">
            <v>459.1053</v>
          </cell>
          <cell r="J942">
            <v>498.12925049999996</v>
          </cell>
          <cell r="K942">
            <v>622.6615631249999</v>
          </cell>
          <cell r="L942">
            <v>1</v>
          </cell>
          <cell r="M942">
            <v>655.4332243421052</v>
          </cell>
          <cell r="N942">
            <v>688.2048855592104</v>
          </cell>
          <cell r="O942">
            <v>771.097910990712</v>
          </cell>
          <cell r="P942">
            <v>848.2077020897832</v>
          </cell>
          <cell r="Q942">
            <v>3</v>
          </cell>
          <cell r="R942">
            <v>963.8723887383899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</v>
          </cell>
          <cell r="H943">
            <v>1.15</v>
          </cell>
          <cell r="I943">
            <v>299.430675</v>
          </cell>
          <cell r="J943">
            <v>324.882282375</v>
          </cell>
          <cell r="K943">
            <v>406.10285296874997</v>
          </cell>
          <cell r="L943">
            <v>1</v>
          </cell>
          <cell r="M943">
            <v>427.4766873355263</v>
          </cell>
          <cell r="N943">
            <v>448.8505217023027</v>
          </cell>
          <cell r="O943">
            <v>502.9137498065016</v>
          </cell>
          <cell r="P943">
            <v>553.2051247871518</v>
          </cell>
          <cell r="Q943">
            <v>3</v>
          </cell>
          <cell r="R943">
            <v>628.6421872581269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</v>
          </cell>
          <cell r="H944">
            <v>1.15</v>
          </cell>
          <cell r="I944">
            <v>418.786875</v>
          </cell>
          <cell r="J944">
            <v>454.383759375</v>
          </cell>
          <cell r="K944">
            <v>567.9796992187499</v>
          </cell>
          <cell r="L944">
            <v>1</v>
          </cell>
          <cell r="M944">
            <v>597.8733675986841</v>
          </cell>
          <cell r="N944">
            <v>627.7670359786183</v>
          </cell>
          <cell r="O944">
            <v>703.3804324690402</v>
          </cell>
          <cell r="P944">
            <v>773.7184757159444</v>
          </cell>
          <cell r="Q944">
            <v>3</v>
          </cell>
          <cell r="R944">
            <v>879.2255405863002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61.89750000000001</v>
          </cell>
          <cell r="H945">
            <v>1.15</v>
          </cell>
          <cell r="I945">
            <v>71.182125</v>
          </cell>
          <cell r="J945">
            <v>77.23260562499999</v>
          </cell>
          <cell r="K945">
            <v>96.54075703124998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131.5106287732198</v>
          </cell>
          <cell r="Q945">
            <v>3</v>
          </cell>
          <cell r="R945">
            <v>149.4438963332043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</v>
          </cell>
          <cell r="H946">
            <v>1.15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</v>
          </cell>
          <cell r="N946">
            <v>325.0890723108553</v>
          </cell>
          <cell r="O946">
            <v>364.2454591718266</v>
          </cell>
          <cell r="P946">
            <v>400.6700050890093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258.3225</v>
          </cell>
          <cell r="H947">
            <v>1.15</v>
          </cell>
          <cell r="I947">
            <v>297.07087499999994</v>
          </cell>
          <cell r="J947">
            <v>322.32189937499993</v>
          </cell>
          <cell r="K947">
            <v>402.9023742187499</v>
          </cell>
          <cell r="L947">
            <v>2</v>
          </cell>
          <cell r="M947">
            <v>447.6693046874999</v>
          </cell>
          <cell r="N947">
            <v>470.0527699218749</v>
          </cell>
          <cell r="O947">
            <v>526.6697702205881</v>
          </cell>
          <cell r="P947">
            <v>579.336747242647</v>
          </cell>
          <cell r="Q947">
            <v>3</v>
          </cell>
          <cell r="R947">
            <v>658.3372127757351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1.15</v>
          </cell>
          <cell r="I948">
            <v>275.24272499999995</v>
          </cell>
          <cell r="J948">
            <v>298.6383566249999</v>
          </cell>
          <cell r="K948">
            <v>373.2979457812499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</v>
          </cell>
          <cell r="Q948">
            <v>3</v>
          </cell>
          <cell r="R948">
            <v>609.9639636948527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</v>
          </cell>
          <cell r="H949">
            <v>1.15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253.2478548848684</v>
          </cell>
          <cell r="O949">
            <v>283.7510979102167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1.15</v>
          </cell>
          <cell r="I950">
            <v>35.11755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58.8348071139706</v>
          </cell>
          <cell r="O950">
            <v>65.92135250865053</v>
          </cell>
          <cell r="P950">
            <v>72.51348775951558</v>
          </cell>
          <cell r="Q950">
            <v>3</v>
          </cell>
          <cell r="R950">
            <v>82.40169063581315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1.15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517.9500547697369</v>
          </cell>
          <cell r="N951">
            <v>543.8475575082238</v>
          </cell>
          <cell r="O951">
            <v>609.3530056114552</v>
          </cell>
          <cell r="P951">
            <v>670.2883061726008</v>
          </cell>
          <cell r="Q951">
            <v>3</v>
          </cell>
          <cell r="R951">
            <v>761.6912570143189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</v>
          </cell>
          <cell r="H952">
            <v>1.15</v>
          </cell>
          <cell r="I952">
            <v>1190.472525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</v>
          </cell>
          <cell r="H953">
            <v>1.15</v>
          </cell>
          <cell r="I953">
            <v>767.15235</v>
          </cell>
          <cell r="J953">
            <v>832.36029975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324.03</v>
          </cell>
          <cell r="G954">
            <v>437.4405</v>
          </cell>
          <cell r="H954">
            <v>1.15</v>
          </cell>
          <cell r="I954">
            <v>503.05657499999995</v>
          </cell>
          <cell r="J954">
            <v>513.1177064999999</v>
          </cell>
          <cell r="K954">
            <v>603.6678899999999</v>
          </cell>
          <cell r="L954">
            <v>1</v>
          </cell>
          <cell r="M954">
            <v>635.4398842105263</v>
          </cell>
          <cell r="N954">
            <v>667.2118784210527</v>
          </cell>
          <cell r="O954">
            <v>747.5763343653251</v>
          </cell>
          <cell r="P954">
            <v>822.3339678018577</v>
          </cell>
          <cell r="Q954">
            <v>1</v>
          </cell>
          <cell r="R954">
            <v>830.6403715170279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</v>
          </cell>
          <cell r="H955">
            <v>1.15</v>
          </cell>
          <cell r="I955">
            <v>230.17364999999998</v>
          </cell>
          <cell r="J955">
            <v>249.73841024999996</v>
          </cell>
          <cell r="K955">
            <v>312.1730128124999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</v>
          </cell>
          <cell r="P955">
            <v>448.8762275735293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</v>
          </cell>
          <cell r="H956">
            <v>1.15</v>
          </cell>
          <cell r="I956">
            <v>178.44435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</v>
          </cell>
          <cell r="N956">
            <v>282.3510079687499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1.15</v>
          </cell>
          <cell r="I957">
            <v>30.848175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44.03982878289474</v>
          </cell>
          <cell r="N957">
            <v>46.24182022203948</v>
          </cell>
          <cell r="O957">
            <v>51.81156327399381</v>
          </cell>
          <cell r="P957">
            <v>56.9927196013932</v>
          </cell>
          <cell r="Q957">
            <v>3</v>
          </cell>
          <cell r="R957">
            <v>64.76445409249226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64.96</v>
          </cell>
          <cell r="G958">
            <v>87.696</v>
          </cell>
          <cell r="H958">
            <v>1.15</v>
          </cell>
          <cell r="I958">
            <v>100.8504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</v>
          </cell>
          <cell r="G959">
            <v>380.49750000000006</v>
          </cell>
          <cell r="H959">
            <v>1.15</v>
          </cell>
          <cell r="I959">
            <v>437.572125</v>
          </cell>
          <cell r="J959">
            <v>474.765755625</v>
          </cell>
          <cell r="K959">
            <v>593.4571945312499</v>
          </cell>
          <cell r="L959">
            <v>1</v>
          </cell>
          <cell r="M959">
            <v>624.6917837171052</v>
          </cell>
          <cell r="N959">
            <v>655.9263729029605</v>
          </cell>
          <cell r="O959">
            <v>734.9315102554178</v>
          </cell>
          <cell r="P959">
            <v>808.4246612809596</v>
          </cell>
          <cell r="Q959">
            <v>3</v>
          </cell>
          <cell r="R959">
            <v>918.6643878192723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</v>
          </cell>
          <cell r="H960">
            <v>1.15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</v>
          </cell>
          <cell r="P960">
            <v>2570.839183630031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1.15</v>
          </cell>
          <cell r="I961">
            <v>3834.0695250000003</v>
          </cell>
          <cell r="J961">
            <v>4159.965434625</v>
          </cell>
          <cell r="K961">
            <v>5199.95679328125</v>
          </cell>
          <cell r="L961">
            <v>1</v>
          </cell>
          <cell r="M961">
            <v>5473.6387297697365</v>
          </cell>
          <cell r="N961">
            <v>5747.320666258223</v>
          </cell>
          <cell r="O961">
            <v>6439.57497619969</v>
          </cell>
          <cell r="P961">
            <v>7083.53247381966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92.6505</v>
          </cell>
          <cell r="H962">
            <v>1.15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</v>
          </cell>
          <cell r="P962">
            <v>196.8500425890093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1.15</v>
          </cell>
          <cell r="I963">
            <v>447.787575</v>
          </cell>
          <cell r="J963">
            <v>485.849518875</v>
          </cell>
          <cell r="K963">
            <v>607.31189859375</v>
          </cell>
          <cell r="L963">
            <v>2</v>
          </cell>
          <cell r="M963">
            <v>674.7909984375</v>
          </cell>
          <cell r="N963">
            <v>708.530548359375</v>
          </cell>
          <cell r="O963">
            <v>793.871762867647</v>
          </cell>
          <cell r="P963">
            <v>873.2589391544118</v>
          </cell>
          <cell r="Q963">
            <v>3</v>
          </cell>
          <cell r="R963">
            <v>992.3397035845587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</v>
          </cell>
          <cell r="H964">
            <v>1.15</v>
          </cell>
          <cell r="I964">
            <v>218.793825</v>
          </cell>
          <cell r="J964">
            <v>237.391300125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327.9748225411184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</v>
          </cell>
        </row>
        <row r="965">
          <cell r="A965">
            <v>8591560</v>
          </cell>
          <cell r="D965" t="str">
            <v>VALVE,CONTROL,SMARTLITE,2X NO</v>
          </cell>
          <cell r="F965">
            <v>265.66</v>
          </cell>
          <cell r="G965">
            <v>358.6410000000001</v>
          </cell>
          <cell r="H965">
            <v>1</v>
          </cell>
          <cell r="I965">
            <v>358.6410000000001</v>
          </cell>
          <cell r="J965">
            <v>358.6410000000001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</v>
          </cell>
          <cell r="P965">
            <v>610.689009287926</v>
          </cell>
          <cell r="Q965">
            <v>3</v>
          </cell>
          <cell r="R965">
            <v>693.964783281734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345.438</v>
          </cell>
          <cell r="H966">
            <v>1.15</v>
          </cell>
          <cell r="I966">
            <v>397.2537</v>
          </cell>
          <cell r="J966">
            <v>431.02026449999994</v>
          </cell>
          <cell r="K966">
            <v>538.7753306249999</v>
          </cell>
          <cell r="L966">
            <v>1</v>
          </cell>
          <cell r="M966">
            <v>567.1319269736841</v>
          </cell>
          <cell r="N966">
            <v>595.4885233223683</v>
          </cell>
          <cell r="O966">
            <v>667.2140317337461</v>
          </cell>
          <cell r="P966">
            <v>733.9354349071208</v>
          </cell>
          <cell r="Q966">
            <v>3</v>
          </cell>
          <cell r="R966">
            <v>834.0175396671825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</v>
          </cell>
          <cell r="H967">
            <v>1</v>
          </cell>
          <cell r="I967">
            <v>953.3700000000001</v>
          </cell>
          <cell r="J967">
            <v>1034.4064500000002</v>
          </cell>
          <cell r="K967">
            <v>1293.0080625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1.15</v>
          </cell>
          <cell r="I968">
            <v>41.529375</v>
          </cell>
          <cell r="J968">
            <v>45.059371875000004</v>
          </cell>
          <cell r="K968">
            <v>56.32421484375</v>
          </cell>
          <cell r="L968">
            <v>1</v>
          </cell>
          <cell r="M968">
            <v>59.28864720394737</v>
          </cell>
          <cell r="N968">
            <v>62.25307956414474</v>
          </cell>
          <cell r="O968">
            <v>69.7513496517028</v>
          </cell>
          <cell r="P968">
            <v>76.72648461687308</v>
          </cell>
          <cell r="Q968">
            <v>3</v>
          </cell>
          <cell r="R968">
            <v>87.18918706462848</v>
          </cell>
        </row>
        <row r="969">
          <cell r="A969">
            <v>8518782</v>
          </cell>
          <cell r="D969" t="str">
            <v>GASKET,LID,10</v>
          </cell>
          <cell r="F969">
            <v>20.33</v>
          </cell>
          <cell r="G969">
            <v>27.4455</v>
          </cell>
          <cell r="H969">
            <v>1.15</v>
          </cell>
          <cell r="I969">
            <v>31.562324999999998</v>
          </cell>
          <cell r="J969">
            <v>34.24512262499999</v>
          </cell>
          <cell r="K969">
            <v>42.80640328124999</v>
          </cell>
          <cell r="L969">
            <v>1</v>
          </cell>
          <cell r="M969">
            <v>45.059371875</v>
          </cell>
          <cell r="N969">
            <v>47.31234046875</v>
          </cell>
          <cell r="O969">
            <v>53.01102573529411</v>
          </cell>
          <cell r="P969">
            <v>58.312128308823524</v>
          </cell>
          <cell r="Q969">
            <v>3</v>
          </cell>
          <cell r="R969">
            <v>66.26378216911763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1.15</v>
          </cell>
          <cell r="I970">
            <v>834.624</v>
          </cell>
          <cell r="J970">
            <v>905.56704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1.15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474.2145</v>
          </cell>
          <cell r="H972">
            <v>1.15</v>
          </cell>
          <cell r="I972">
            <v>545.3466749999999</v>
          </cell>
          <cell r="J972">
            <v>591.7011423749999</v>
          </cell>
          <cell r="K972">
            <v>739.6264279687498</v>
          </cell>
          <cell r="L972">
            <v>1</v>
          </cell>
          <cell r="M972">
            <v>778.5541347039472</v>
          </cell>
          <cell r="N972">
            <v>817.4818414391445</v>
          </cell>
          <cell r="O972">
            <v>915.9460408281732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1.15</v>
          </cell>
          <cell r="I973">
            <v>328.679775</v>
          </cell>
          <cell r="J973">
            <v>356.617555875</v>
          </cell>
          <cell r="K973">
            <v>445.77194484374996</v>
          </cell>
          <cell r="L973">
            <v>1</v>
          </cell>
          <cell r="M973">
            <v>469.2336261513158</v>
          </cell>
          <cell r="N973">
            <v>492.6953074588816</v>
          </cell>
          <cell r="O973">
            <v>552.0395601780185</v>
          </cell>
          <cell r="P973">
            <v>607.2435161958205</v>
          </cell>
          <cell r="Q973">
            <v>3</v>
          </cell>
          <cell r="R973">
            <v>690.0494502225231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</v>
          </cell>
          <cell r="H974">
            <v>1.15</v>
          </cell>
          <cell r="I974">
            <v>482.222025</v>
          </cell>
          <cell r="J974">
            <v>523.210897125</v>
          </cell>
          <cell r="K974">
            <v>654.01362140625</v>
          </cell>
          <cell r="L974">
            <v>1</v>
          </cell>
          <cell r="M974">
            <v>688.4353909539474</v>
          </cell>
          <cell r="N974">
            <v>722.8571605016448</v>
          </cell>
          <cell r="O974">
            <v>809.9239893575851</v>
          </cell>
          <cell r="P974">
            <v>890.9163882933437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1.15</v>
          </cell>
          <cell r="I975">
            <v>130.2858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287.53</v>
          </cell>
          <cell r="G976">
            <v>388.1655</v>
          </cell>
          <cell r="H976">
            <v>1.15</v>
          </cell>
          <cell r="I976">
            <v>446.39032499999996</v>
          </cell>
          <cell r="J976">
            <v>484.33350262499994</v>
          </cell>
          <cell r="K976">
            <v>605.4168782812499</v>
          </cell>
          <cell r="L976">
            <v>2</v>
          </cell>
          <cell r="M976">
            <v>672.6854203124998</v>
          </cell>
          <cell r="N976">
            <v>706.3196913281248</v>
          </cell>
          <cell r="O976">
            <v>791.3946121323527</v>
          </cell>
          <cell r="P976">
            <v>870.534073345588</v>
          </cell>
          <cell r="Q976">
            <v>3</v>
          </cell>
          <cell r="R976">
            <v>989.2432651654408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</v>
          </cell>
          <cell r="G977">
            <v>349.7850000000001</v>
          </cell>
          <cell r="H977">
            <v>1.15</v>
          </cell>
          <cell r="I977">
            <v>402.25275000000005</v>
          </cell>
          <cell r="J977">
            <v>436.44423375</v>
          </cell>
          <cell r="K977">
            <v>545.5552921875</v>
          </cell>
          <cell r="L977">
            <v>1</v>
          </cell>
          <cell r="M977">
            <v>574.268728618421</v>
          </cell>
          <cell r="N977">
            <v>602.9821650493421</v>
          </cell>
          <cell r="O977">
            <v>675.6102689628483</v>
          </cell>
          <cell r="P977">
            <v>743.1712958591332</v>
          </cell>
          <cell r="Q977">
            <v>3</v>
          </cell>
          <cell r="R977">
            <v>844.5128362035604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1.15</v>
          </cell>
          <cell r="I978">
            <v>511.191675</v>
          </cell>
          <cell r="J978">
            <v>554.6429673749999</v>
          </cell>
          <cell r="K978">
            <v>693.3037092187499</v>
          </cell>
          <cell r="L978">
            <v>1</v>
          </cell>
          <cell r="M978">
            <v>729.7933781249999</v>
          </cell>
          <cell r="N978">
            <v>766.2830470312499</v>
          </cell>
          <cell r="O978">
            <v>858.580444852941</v>
          </cell>
          <cell r="P978">
            <v>944.4384893382352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1.15</v>
          </cell>
          <cell r="I979">
            <v>3186.5373</v>
          </cell>
          <cell r="J979">
            <v>3250.268046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</v>
          </cell>
          <cell r="O979">
            <v>4735.41146749226</v>
          </cell>
          <cell r="P979">
            <v>5208.952614241487</v>
          </cell>
          <cell r="Q979">
            <v>1</v>
          </cell>
          <cell r="R979">
            <v>5261.568297213623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</v>
          </cell>
          <cell r="H980">
            <v>1.15</v>
          </cell>
          <cell r="I980">
            <v>392.301225</v>
          </cell>
          <cell r="J980">
            <v>425.64682912499995</v>
          </cell>
          <cell r="K980">
            <v>532.0585364062499</v>
          </cell>
          <cell r="L980">
            <v>2</v>
          </cell>
          <cell r="M980">
            <v>591.1761515624999</v>
          </cell>
          <cell r="N980">
            <v>620.7349591406248</v>
          </cell>
          <cell r="O980">
            <v>695.5013547794116</v>
          </cell>
          <cell r="P980">
            <v>765.0514902573528</v>
          </cell>
          <cell r="Q980">
            <v>3</v>
          </cell>
          <cell r="R980">
            <v>869.3766934742645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</v>
          </cell>
          <cell r="H981">
            <v>1.15</v>
          </cell>
          <cell r="I981">
            <v>727.175475</v>
          </cell>
          <cell r="J981">
            <v>788.985390375</v>
          </cell>
          <cell r="K981">
            <v>986.2317379687499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</v>
          </cell>
          <cell r="H982">
            <v>1.15</v>
          </cell>
          <cell r="I982">
            <v>166.133025</v>
          </cell>
          <cell r="J982">
            <v>180.254332125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</v>
          </cell>
          <cell r="Q982">
            <v>3</v>
          </cell>
          <cell r="R982">
            <v>368.1665280330882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</v>
          </cell>
          <cell r="H983">
            <v>1.15</v>
          </cell>
          <cell r="I983">
            <v>519.5286</v>
          </cell>
          <cell r="J983">
            <v>563.688531</v>
          </cell>
          <cell r="K983">
            <v>704.61066375</v>
          </cell>
          <cell r="L983">
            <v>1</v>
          </cell>
          <cell r="M983">
            <v>741.6954355263158</v>
          </cell>
          <cell r="N983">
            <v>778.7802073026317</v>
          </cell>
          <cell r="O983">
            <v>872.5828653250775</v>
          </cell>
          <cell r="P983">
            <v>959.8411518575853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</v>
          </cell>
          <cell r="G984">
            <v>424.11600000000004</v>
          </cell>
          <cell r="H984">
            <v>1.15</v>
          </cell>
          <cell r="I984">
            <v>487.7334</v>
          </cell>
          <cell r="J984">
            <v>529.190739</v>
          </cell>
          <cell r="K984">
            <v>661.4884237499999</v>
          </cell>
          <cell r="L984">
            <v>2</v>
          </cell>
          <cell r="M984">
            <v>734.9871374999999</v>
          </cell>
          <cell r="N984">
            <v>771.7364943749999</v>
          </cell>
          <cell r="O984">
            <v>864.6907499999999</v>
          </cell>
          <cell r="P984">
            <v>951.159825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1.15</v>
          </cell>
          <cell r="I985">
            <v>147.627225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272.7447260642415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1.15</v>
          </cell>
          <cell r="I986">
            <v>384.97342499999996</v>
          </cell>
          <cell r="J986">
            <v>417.69616612499993</v>
          </cell>
          <cell r="K986">
            <v>522.1202076562499</v>
          </cell>
          <cell r="L986">
            <v>2</v>
          </cell>
          <cell r="M986">
            <v>580.1335640624999</v>
          </cell>
          <cell r="N986">
            <v>609.1402422656249</v>
          </cell>
          <cell r="O986">
            <v>682.5100753676469</v>
          </cell>
          <cell r="P986">
            <v>750.7610829044116</v>
          </cell>
          <cell r="Q986">
            <v>3</v>
          </cell>
          <cell r="R986">
            <v>853.1375942095585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</v>
          </cell>
          <cell r="H987">
            <v>1.15</v>
          </cell>
          <cell r="I987">
            <v>518.364225</v>
          </cell>
          <cell r="J987">
            <v>562.425184125</v>
          </cell>
          <cell r="K987">
            <v>703.0314801562499</v>
          </cell>
          <cell r="L987">
            <v>1</v>
          </cell>
          <cell r="M987">
            <v>740.033137006579</v>
          </cell>
          <cell r="N987">
            <v>777.034793856908</v>
          </cell>
          <cell r="O987">
            <v>870.62722000774</v>
          </cell>
          <cell r="P987">
            <v>957.6899420085141</v>
          </cell>
          <cell r="Q987">
            <v>3</v>
          </cell>
          <cell r="R987">
            <v>1088.284025009675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514.5255000000001</v>
          </cell>
          <cell r="H988">
            <v>1.15</v>
          </cell>
          <cell r="I988">
            <v>591.704325</v>
          </cell>
          <cell r="J988">
            <v>641.999192625</v>
          </cell>
          <cell r="K988">
            <v>802.49899078125</v>
          </cell>
          <cell r="L988">
            <v>1</v>
          </cell>
          <cell r="M988">
            <v>844.7357797697368</v>
          </cell>
          <cell r="N988">
            <v>886.9725687582237</v>
          </cell>
          <cell r="O988">
            <v>993.8067997291022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</v>
          </cell>
          <cell r="H989">
            <v>1.15</v>
          </cell>
          <cell r="I989">
            <v>645.110325</v>
          </cell>
          <cell r="J989">
            <v>699.944702625</v>
          </cell>
          <cell r="K989">
            <v>874.93087828125</v>
          </cell>
          <cell r="L989">
            <v>1</v>
          </cell>
          <cell r="M989">
            <v>920.9798718750001</v>
          </cell>
          <cell r="N989">
            <v>967.0288654687502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1.15</v>
          </cell>
          <cell r="I990">
            <v>198.425025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</v>
          </cell>
          <cell r="N990">
            <v>297.4417233305921</v>
          </cell>
          <cell r="O990">
            <v>333.2680373452012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1.15</v>
          </cell>
          <cell r="I991">
            <v>65.034225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92.84491332236843</v>
          </cell>
          <cell r="N991">
            <v>97.48715898848685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291.4</v>
          </cell>
          <cell r="G992">
            <v>393.39</v>
          </cell>
          <cell r="H992">
            <v>1.15</v>
          </cell>
          <cell r="I992">
            <v>452.39849999999996</v>
          </cell>
          <cell r="J992">
            <v>490.85237249999994</v>
          </cell>
          <cell r="K992">
            <v>613.5654656249999</v>
          </cell>
          <cell r="L992">
            <v>1</v>
          </cell>
          <cell r="M992">
            <v>645.858384868421</v>
          </cell>
          <cell r="N992">
            <v>678.1513041118421</v>
          </cell>
          <cell r="O992">
            <v>759.8333939628483</v>
          </cell>
          <cell r="P992">
            <v>835.8167333591332</v>
          </cell>
          <cell r="Q992">
            <v>3</v>
          </cell>
          <cell r="R992">
            <v>949.7917424535603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1.15</v>
          </cell>
          <cell r="I993">
            <v>449.07615</v>
          </cell>
          <cell r="J993">
            <v>487.24762274999995</v>
          </cell>
          <cell r="K993">
            <v>609.0595284374999</v>
          </cell>
          <cell r="L993">
            <v>2</v>
          </cell>
          <cell r="M993">
            <v>676.7328093749999</v>
          </cell>
          <cell r="N993">
            <v>710.5694498437499</v>
          </cell>
          <cell r="O993">
            <v>796.1562463235293</v>
          </cell>
          <cell r="P993">
            <v>875.7718709558824</v>
          </cell>
          <cell r="Q993">
            <v>3</v>
          </cell>
          <cell r="R993">
            <v>995.1953079044116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</v>
          </cell>
          <cell r="H994">
            <v>1.15</v>
          </cell>
          <cell r="I994">
            <v>110.13435</v>
          </cell>
          <cell r="J994">
            <v>119.49576975</v>
          </cell>
          <cell r="K994">
            <v>149.36971218749997</v>
          </cell>
          <cell r="L994">
            <v>1</v>
          </cell>
          <cell r="M994">
            <v>157.2312759868421</v>
          </cell>
          <cell r="N994">
            <v>165.09283978618421</v>
          </cell>
          <cell r="O994">
            <v>184.977971749226</v>
          </cell>
          <cell r="P994">
            <v>203.4757689241486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</v>
          </cell>
          <cell r="H995">
            <v>1.15</v>
          </cell>
          <cell r="I995">
            <v>429.623325</v>
          </cell>
          <cell r="J995">
            <v>466.141307625</v>
          </cell>
          <cell r="K995">
            <v>582.67663453125</v>
          </cell>
          <cell r="L995">
            <v>1</v>
          </cell>
          <cell r="M995">
            <v>613.3438258223684</v>
          </cell>
          <cell r="N995">
            <v>644.0110171134869</v>
          </cell>
          <cell r="O995">
            <v>721.5809715557276</v>
          </cell>
          <cell r="P995">
            <v>793.7390687113004</v>
          </cell>
          <cell r="Q995">
            <v>3</v>
          </cell>
          <cell r="R995">
            <v>901.9762144446595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152.89</v>
          </cell>
          <cell r="G996">
            <v>206.4015</v>
          </cell>
          <cell r="H996">
            <v>1.15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</v>
          </cell>
          <cell r="O996">
            <v>398.6648167569659</v>
          </cell>
          <cell r="P996">
            <v>438.5312984326625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1.15</v>
          </cell>
          <cell r="I997">
            <v>31.096575000000005</v>
          </cell>
          <cell r="J997">
            <v>33.73978387500001</v>
          </cell>
          <cell r="K997">
            <v>42.17472984375001</v>
          </cell>
          <cell r="L997">
            <v>1</v>
          </cell>
          <cell r="M997">
            <v>44.394452467105275</v>
          </cell>
          <cell r="N997">
            <v>46.61417509046054</v>
          </cell>
          <cell r="O997">
            <v>52.22876760835915</v>
          </cell>
          <cell r="P997">
            <v>57.451644369195066</v>
          </cell>
          <cell r="Q997">
            <v>3</v>
          </cell>
          <cell r="R997">
            <v>65.28595951044893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</v>
          </cell>
          <cell r="G998">
            <v>214.67700000000002</v>
          </cell>
          <cell r="H998">
            <v>1.15</v>
          </cell>
          <cell r="I998">
            <v>246.87855000000002</v>
          </cell>
          <cell r="J998">
            <v>267.86322675</v>
          </cell>
          <cell r="K998">
            <v>334.8290334375</v>
          </cell>
          <cell r="L998">
            <v>1</v>
          </cell>
          <cell r="M998">
            <v>352.4516141447369</v>
          </cell>
          <cell r="N998">
            <v>370.07419485197374</v>
          </cell>
          <cell r="O998">
            <v>414.64895781733753</v>
          </cell>
          <cell r="P998">
            <v>456.1138535990713</v>
          </cell>
          <cell r="Q998">
            <v>3</v>
          </cell>
          <cell r="R998">
            <v>518.3111972716719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157.707</v>
          </cell>
          <cell r="H999">
            <v>1.15</v>
          </cell>
          <cell r="I999">
            <v>181.36305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353.6875819852942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442.5705</v>
          </cell>
          <cell r="H1000">
            <v>1.15</v>
          </cell>
          <cell r="I1000">
            <v>508.95607499999994</v>
          </cell>
          <cell r="J1000">
            <v>552.2173413749999</v>
          </cell>
          <cell r="K1000">
            <v>690.2716767187499</v>
          </cell>
          <cell r="L1000">
            <v>1</v>
          </cell>
          <cell r="M1000">
            <v>726.6017649671052</v>
          </cell>
          <cell r="N1000">
            <v>762.9318532154605</v>
          </cell>
          <cell r="O1000">
            <v>854.8256058436532</v>
          </cell>
          <cell r="P1000">
            <v>940.3081664280186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1.15</v>
          </cell>
          <cell r="I1001">
            <v>274.187025</v>
          </cell>
          <cell r="J1001">
            <v>297.492922125</v>
          </cell>
          <cell r="K1001">
            <v>371.86615265625</v>
          </cell>
          <cell r="L1001">
            <v>2</v>
          </cell>
          <cell r="M1001">
            <v>413.1846140625</v>
          </cell>
          <cell r="N1001">
            <v>433.84384476562497</v>
          </cell>
          <cell r="O1001">
            <v>486.0995459558823</v>
          </cell>
          <cell r="P1001">
            <v>534.7095005514706</v>
          </cell>
          <cell r="Q1001">
            <v>3</v>
          </cell>
          <cell r="R1001">
            <v>607.6244324448529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1.15</v>
          </cell>
          <cell r="I1002">
            <v>194.1867</v>
          </cell>
          <cell r="J1002">
            <v>210.6925695</v>
          </cell>
          <cell r="K1002">
            <v>263.365711875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</v>
          </cell>
          <cell r="P1002">
            <v>358.76443722910227</v>
          </cell>
          <cell r="Q1002">
            <v>3</v>
          </cell>
          <cell r="R1002">
            <v>407.6868604876161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</v>
          </cell>
          <cell r="H1003">
            <v>1.15</v>
          </cell>
          <cell r="I1003">
            <v>166.412475</v>
          </cell>
          <cell r="J1003">
            <v>180.557535375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1.15</v>
          </cell>
          <cell r="I1004">
            <v>188.25615000000002</v>
          </cell>
          <cell r="J1004">
            <v>204.25792275</v>
          </cell>
          <cell r="K1004">
            <v>255.3224034375</v>
          </cell>
          <cell r="L1004">
            <v>1</v>
          </cell>
          <cell r="M1004">
            <v>268.76042467105265</v>
          </cell>
          <cell r="N1004">
            <v>282.1984459046053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34.68150000000001</v>
          </cell>
          <cell r="H1005">
            <v>1.15</v>
          </cell>
          <cell r="I1005">
            <v>39.883725000000005</v>
          </cell>
          <cell r="J1005">
            <v>43.273841625</v>
          </cell>
          <cell r="K1005">
            <v>54.09230203125</v>
          </cell>
          <cell r="L1005">
            <v>1</v>
          </cell>
          <cell r="M1005">
            <v>56.93926529605263</v>
          </cell>
          <cell r="N1005">
            <v>59.786228560855264</v>
          </cell>
          <cell r="O1005">
            <v>66.98737093653251</v>
          </cell>
          <cell r="P1005">
            <v>73.68610803018578</v>
          </cell>
          <cell r="Q1005">
            <v>3</v>
          </cell>
          <cell r="R1005">
            <v>83.73421367066564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37.62</v>
          </cell>
          <cell r="G1006">
            <v>50.787</v>
          </cell>
          <cell r="H1006">
            <v>1.15</v>
          </cell>
          <cell r="I1006">
            <v>58.405049999999996</v>
          </cell>
          <cell r="J1006">
            <v>63.36947924999999</v>
          </cell>
          <cell r="K1006">
            <v>79.21184906249998</v>
          </cell>
          <cell r="L1006">
            <v>1</v>
          </cell>
          <cell r="M1006">
            <v>83.38089374999998</v>
          </cell>
          <cell r="N1006">
            <v>87.54993843749999</v>
          </cell>
          <cell r="O1006">
            <v>98.09516911764705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</v>
          </cell>
          <cell r="H1007">
            <v>1.15</v>
          </cell>
          <cell r="I1007">
            <v>80.962875</v>
          </cell>
          <cell r="J1007">
            <v>87.844719375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</v>
          </cell>
          <cell r="G1008">
            <v>43.56450000000001</v>
          </cell>
          <cell r="H1008">
            <v>1.15</v>
          </cell>
          <cell r="I1008">
            <v>50.09917500000001</v>
          </cell>
          <cell r="J1008">
            <v>54.35760487500001</v>
          </cell>
          <cell r="K1008">
            <v>67.94700609375</v>
          </cell>
          <cell r="L1008">
            <v>1</v>
          </cell>
          <cell r="M1008">
            <v>71.52316430921053</v>
          </cell>
          <cell r="N1008">
            <v>75.09932252467105</v>
          </cell>
          <cell r="O1008">
            <v>84.1448991873065</v>
          </cell>
          <cell r="P1008">
            <v>92.55938910603716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1.15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</v>
          </cell>
          <cell r="H1010">
            <v>1.15</v>
          </cell>
          <cell r="I1010">
            <v>19.235475</v>
          </cell>
          <cell r="J1010">
            <v>20.870490375</v>
          </cell>
          <cell r="K1010">
            <v>26.088112968749996</v>
          </cell>
          <cell r="L1010">
            <v>1</v>
          </cell>
          <cell r="M1010">
            <v>27.46117154605263</v>
          </cell>
          <cell r="N1010">
            <v>28.834230123355262</v>
          </cell>
          <cell r="O1010">
            <v>32.30726064241486</v>
          </cell>
          <cell r="P1010">
            <v>35.53798670665635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1.15</v>
          </cell>
          <cell r="I1011">
            <v>276.42262500000004</v>
          </cell>
          <cell r="J1011">
            <v>299.91854812500003</v>
          </cell>
          <cell r="K1011">
            <v>374.89818515625</v>
          </cell>
          <cell r="L1011">
            <v>1</v>
          </cell>
          <cell r="M1011">
            <v>394.62966858552636</v>
          </cell>
          <cell r="N1011">
            <v>414.3611520148027</v>
          </cell>
          <cell r="O1011">
            <v>464.2701983359134</v>
          </cell>
          <cell r="P1011">
            <v>510.69721816950477</v>
          </cell>
          <cell r="Q1011">
            <v>3</v>
          </cell>
          <cell r="R1011">
            <v>580.3377479198917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1.15</v>
          </cell>
          <cell r="I1012">
            <v>169.79692500000002</v>
          </cell>
          <cell r="J1012">
            <v>184.229663625</v>
          </cell>
          <cell r="K1012">
            <v>230.28707953125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313.7037615905573</v>
          </cell>
          <cell r="Q1012">
            <v>3</v>
          </cell>
          <cell r="R1012">
            <v>356.4815472619969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1.15</v>
          </cell>
          <cell r="I1013">
            <v>24.700274999999998</v>
          </cell>
          <cell r="J1013">
            <v>26.799798374999998</v>
          </cell>
          <cell r="K1013">
            <v>33.49974796874999</v>
          </cell>
          <cell r="L1013">
            <v>1</v>
          </cell>
          <cell r="M1013">
            <v>35.2628925986842</v>
          </cell>
          <cell r="N1013">
            <v>37.026037228618414</v>
          </cell>
          <cell r="O1013">
            <v>41.48575599845201</v>
          </cell>
          <cell r="P1013">
            <v>45.63433159829721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</v>
          </cell>
          <cell r="H1014">
            <v>1.15</v>
          </cell>
          <cell r="I1014">
            <v>47.739375</v>
          </cell>
          <cell r="J1014">
            <v>51.797221875</v>
          </cell>
          <cell r="K1014">
            <v>64.74652734374999</v>
          </cell>
          <cell r="L1014">
            <v>1</v>
          </cell>
          <cell r="M1014">
            <v>68.15423930921052</v>
          </cell>
          <cell r="N1014">
            <v>71.56195127467106</v>
          </cell>
          <cell r="O1014">
            <v>80.18145801083591</v>
          </cell>
          <cell r="P1014">
            <v>88.19960381191952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1.15</v>
          </cell>
          <cell r="I1015">
            <v>41.32755</v>
          </cell>
          <cell r="J1015">
            <v>44.84039175</v>
          </cell>
          <cell r="K1015">
            <v>56.0504896875</v>
          </cell>
          <cell r="L1015">
            <v>3</v>
          </cell>
          <cell r="M1015">
            <v>65.94175257352941</v>
          </cell>
          <cell r="N1015">
            <v>69.23884020220589</v>
          </cell>
          <cell r="O1015">
            <v>77.57853243944638</v>
          </cell>
          <cell r="P1015">
            <v>85.33638568339101</v>
          </cell>
          <cell r="Q1015">
            <v>3</v>
          </cell>
          <cell r="R1015">
            <v>96.97316554930796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</v>
          </cell>
          <cell r="H1016">
            <v>1.15</v>
          </cell>
          <cell r="I1016">
            <v>30.879224999999998</v>
          </cell>
          <cell r="J1016">
            <v>33.503959124999994</v>
          </cell>
          <cell r="K1016">
            <v>41.87994890624999</v>
          </cell>
          <cell r="L1016">
            <v>1</v>
          </cell>
          <cell r="M1016">
            <v>44.08415674342105</v>
          </cell>
          <cell r="N1016">
            <v>46.2883645805921</v>
          </cell>
          <cell r="O1016">
            <v>51.86371381578947</v>
          </cell>
          <cell r="P1016">
            <v>57.05008519736842</v>
          </cell>
          <cell r="Q1016">
            <v>3</v>
          </cell>
          <cell r="R1016">
            <v>64.82964226973682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1.15</v>
          </cell>
          <cell r="I1017">
            <v>38.71935</v>
          </cell>
          <cell r="J1017">
            <v>42.01049475</v>
          </cell>
          <cell r="K1017">
            <v>52.5131184375</v>
          </cell>
          <cell r="L1017">
            <v>1</v>
          </cell>
          <cell r="M1017">
            <v>55.27696677631579</v>
          </cell>
          <cell r="N1017">
            <v>58.04081511513158</v>
          </cell>
          <cell r="O1017">
            <v>65.03172561919504</v>
          </cell>
          <cell r="P1017">
            <v>71.53489818111456</v>
          </cell>
          <cell r="Q1017">
            <v>3</v>
          </cell>
          <cell r="R1017">
            <v>81.2896570239938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1.15</v>
          </cell>
          <cell r="I1018">
            <v>31.3605</v>
          </cell>
          <cell r="J1018">
            <v>34.0261425</v>
          </cell>
          <cell r="K1018">
            <v>42.532678125</v>
          </cell>
          <cell r="L1018">
            <v>1</v>
          </cell>
          <cell r="M1018">
            <v>44.77124013157895</v>
          </cell>
          <cell r="N1018">
            <v>47.0098021381579</v>
          </cell>
          <cell r="O1018">
            <v>52.67204721362229</v>
          </cell>
          <cell r="P1018">
            <v>57.939251934984526</v>
          </cell>
          <cell r="Q1018">
            <v>3</v>
          </cell>
          <cell r="R1018">
            <v>65.84005901702785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1.15</v>
          </cell>
          <cell r="I1019">
            <v>59.879925</v>
          </cell>
          <cell r="J1019">
            <v>64.969718625</v>
          </cell>
          <cell r="K1019">
            <v>81.21214828125</v>
          </cell>
          <cell r="L1019">
            <v>2</v>
          </cell>
          <cell r="M1019">
            <v>90.23572031249999</v>
          </cell>
          <cell r="N1019">
            <v>94.747506328125</v>
          </cell>
          <cell r="O1019">
            <v>106.15967095588235</v>
          </cell>
          <cell r="P1019">
            <v>116.7756380514706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44.63100000000001</v>
          </cell>
          <cell r="H1020">
            <v>1</v>
          </cell>
          <cell r="I1020">
            <v>44.63100000000001</v>
          </cell>
          <cell r="J1020">
            <v>44.63100000000001</v>
          </cell>
          <cell r="K1020">
            <v>55.78875000000001</v>
          </cell>
          <cell r="L1020">
            <v>1</v>
          </cell>
          <cell r="M1020">
            <v>58.72500000000001</v>
          </cell>
          <cell r="N1020">
            <v>61.66125000000001</v>
          </cell>
          <cell r="O1020">
            <v>69.08823529411765</v>
          </cell>
          <cell r="P1020">
            <v>75.99705882352943</v>
          </cell>
          <cell r="Q1020">
            <v>3</v>
          </cell>
          <cell r="R1020">
            <v>86.36029411764706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44.63100000000001</v>
          </cell>
          <cell r="H1021">
            <v>1</v>
          </cell>
          <cell r="I1021">
            <v>44.63100000000001</v>
          </cell>
          <cell r="J1021">
            <v>48.42463500000001</v>
          </cell>
          <cell r="K1021">
            <v>60.53079375000001</v>
          </cell>
          <cell r="L1021">
            <v>1</v>
          </cell>
          <cell r="M1021">
            <v>63.716625000000015</v>
          </cell>
          <cell r="N1021">
            <v>66.90245625000001</v>
          </cell>
          <cell r="O1021">
            <v>74.96073529411767</v>
          </cell>
          <cell r="P1021">
            <v>82.45680882352944</v>
          </cell>
          <cell r="Q1021">
            <v>3</v>
          </cell>
          <cell r="R1021">
            <v>93.70091911764708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</v>
          </cell>
          <cell r="G1022">
            <v>3.3075000000000006</v>
          </cell>
          <cell r="H1022">
            <v>1.15</v>
          </cell>
          <cell r="I1022">
            <v>3.8036250000000003</v>
          </cell>
          <cell r="J1022">
            <v>4.126933125</v>
          </cell>
          <cell r="K1022">
            <v>5.158666406249999</v>
          </cell>
          <cell r="L1022">
            <v>1</v>
          </cell>
          <cell r="M1022">
            <v>5.430175164473684</v>
          </cell>
          <cell r="N1022">
            <v>5.701683922697368</v>
          </cell>
          <cell r="O1022">
            <v>6.38844136996904</v>
          </cell>
          <cell r="P1022">
            <v>7.027285506965944</v>
          </cell>
          <cell r="Q1022">
            <v>3</v>
          </cell>
          <cell r="R1022">
            <v>7.985551712461299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17.15</v>
          </cell>
          <cell r="G1023">
            <v>23.1525</v>
          </cell>
          <cell r="H1023">
            <v>1.15</v>
          </cell>
          <cell r="I1023">
            <v>26.625375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</v>
          </cell>
          <cell r="N1023">
            <v>39.91178745888157</v>
          </cell>
          <cell r="O1023">
            <v>44.71908958978327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17.15</v>
          </cell>
          <cell r="G1024">
            <v>23.1525</v>
          </cell>
          <cell r="H1024">
            <v>1.15</v>
          </cell>
          <cell r="I1024">
            <v>26.625375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</v>
          </cell>
          <cell r="N1024">
            <v>39.91178745888157</v>
          </cell>
          <cell r="O1024">
            <v>44.71908958978327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1.15</v>
          </cell>
          <cell r="I1025">
            <v>43.982324999999996</v>
          </cell>
          <cell r="J1025">
            <v>47.720822625</v>
          </cell>
          <cell r="K1025">
            <v>59.65102828124999</v>
          </cell>
          <cell r="L1025">
            <v>2</v>
          </cell>
          <cell r="M1025">
            <v>66.27892031249999</v>
          </cell>
          <cell r="N1025">
            <v>69.592866328125</v>
          </cell>
          <cell r="O1025">
            <v>77.97520036764705</v>
          </cell>
          <cell r="P1025">
            <v>85.77272040441176</v>
          </cell>
          <cell r="Q1025">
            <v>3</v>
          </cell>
          <cell r="R1025">
            <v>97.4690004595588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</v>
          </cell>
          <cell r="G1026">
            <v>22.747500000000002</v>
          </cell>
          <cell r="H1026">
            <v>1.15</v>
          </cell>
          <cell r="I1026">
            <v>26.159625000000002</v>
          </cell>
          <cell r="J1026">
            <v>28.383193125000002</v>
          </cell>
          <cell r="K1026">
            <v>35.47899140625</v>
          </cell>
          <cell r="L1026">
            <v>1</v>
          </cell>
          <cell r="M1026">
            <v>37.34630674342106</v>
          </cell>
          <cell r="N1026">
            <v>39.21362208059212</v>
          </cell>
          <cell r="O1026">
            <v>43.93683146284831</v>
          </cell>
          <cell r="P1026">
            <v>48.33051460913315</v>
          </cell>
          <cell r="Q1026">
            <v>3</v>
          </cell>
          <cell r="R1026">
            <v>54.92103932856038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</v>
          </cell>
          <cell r="H1027">
            <v>1.15</v>
          </cell>
          <cell r="I1027">
            <v>49.229775</v>
          </cell>
          <cell r="J1027">
            <v>53.414305875</v>
          </cell>
          <cell r="K1027">
            <v>66.76788234374999</v>
          </cell>
          <cell r="L1027">
            <v>2</v>
          </cell>
          <cell r="M1027">
            <v>74.18653593749998</v>
          </cell>
          <cell r="N1027">
            <v>77.89586273437499</v>
          </cell>
          <cell r="O1027">
            <v>87.2782775735294</v>
          </cell>
          <cell r="P1027">
            <v>96.00610533088233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14.8905</v>
          </cell>
          <cell r="H1028">
            <v>1.15</v>
          </cell>
          <cell r="I1028">
            <v>17.124074999999998</v>
          </cell>
          <cell r="J1028">
            <v>18.579621375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35.95127975038699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33.55</v>
          </cell>
          <cell r="G1029">
            <v>45.2925</v>
          </cell>
          <cell r="H1029">
            <v>1.15</v>
          </cell>
          <cell r="I1029">
            <v>52.08637499999999</v>
          </cell>
          <cell r="J1029">
            <v>56.513716874999986</v>
          </cell>
          <cell r="K1029">
            <v>70.64214609374997</v>
          </cell>
          <cell r="L1029">
            <v>1</v>
          </cell>
          <cell r="M1029">
            <v>74.36015378289471</v>
          </cell>
          <cell r="N1029">
            <v>78.07816147203945</v>
          </cell>
          <cell r="O1029">
            <v>87.48253386222908</v>
          </cell>
          <cell r="P1029">
            <v>96.23078724845199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</v>
          </cell>
          <cell r="G1030">
            <v>25.231500000000004</v>
          </cell>
          <cell r="H1030">
            <v>1.15</v>
          </cell>
          <cell r="I1030">
            <v>29.016225000000002</v>
          </cell>
          <cell r="J1030">
            <v>31.482604125</v>
          </cell>
          <cell r="K1030">
            <v>39.35325515625</v>
          </cell>
          <cell r="L1030">
            <v>1</v>
          </cell>
          <cell r="M1030">
            <v>41.42447911184211</v>
          </cell>
          <cell r="N1030">
            <v>43.49570306743422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</v>
          </cell>
          <cell r="H1031">
            <v>1.15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66.252015703125</v>
          </cell>
          <cell r="O1031">
            <v>74.23195036764706</v>
          </cell>
          <cell r="P1031">
            <v>81.65514540441177</v>
          </cell>
          <cell r="Q1031">
            <v>3</v>
          </cell>
          <cell r="R1031">
            <v>92.78993795955881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</v>
          </cell>
          <cell r="H1032">
            <v>1.15</v>
          </cell>
          <cell r="I1032">
            <v>11.659275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</v>
          </cell>
          <cell r="H1033">
            <v>1.15</v>
          </cell>
          <cell r="I1033">
            <v>53.064449999999994</v>
          </cell>
          <cell r="J1033">
            <v>57.57492824999999</v>
          </cell>
          <cell r="K1033">
            <v>71.96866031249999</v>
          </cell>
          <cell r="L1033">
            <v>1</v>
          </cell>
          <cell r="M1033">
            <v>75.75648453947367</v>
          </cell>
          <cell r="N1033">
            <v>79.54430876644736</v>
          </cell>
          <cell r="O1033">
            <v>89.12527592879256</v>
          </cell>
          <cell r="P1033">
            <v>98.03780352167182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</v>
          </cell>
          <cell r="H1034">
            <v>1.15</v>
          </cell>
          <cell r="I1034">
            <v>66.866175</v>
          </cell>
          <cell r="J1034">
            <v>72.54979987499999</v>
          </cell>
          <cell r="K1034">
            <v>90.68724984374998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1.15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</v>
          </cell>
          <cell r="G1036">
            <v>25.663500000000003</v>
          </cell>
          <cell r="H1036">
            <v>1.15</v>
          </cell>
          <cell r="I1036">
            <v>29.513025000000003</v>
          </cell>
          <cell r="J1036">
            <v>32.021632125000004</v>
          </cell>
          <cell r="K1036">
            <v>40.02704015625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</v>
          </cell>
          <cell r="P1036">
            <v>54.52599897445821</v>
          </cell>
          <cell r="Q1036">
            <v>3</v>
          </cell>
          <cell r="R1036">
            <v>61.96136247097524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1.15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</v>
          </cell>
          <cell r="O1037">
            <v>3.598387383900928</v>
          </cell>
          <cell r="P1037">
            <v>3.958226122291021</v>
          </cell>
          <cell r="Q1037">
            <v>3</v>
          </cell>
          <cell r="R1037">
            <v>4.49798422987616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16.56</v>
          </cell>
          <cell r="G1038">
            <v>22.355999999999998</v>
          </cell>
          <cell r="H1038">
            <v>1.15</v>
          </cell>
          <cell r="I1038">
            <v>25.709399999999995</v>
          </cell>
          <cell r="J1038">
            <v>27.894698999999992</v>
          </cell>
          <cell r="K1038">
            <v>34.86837374999999</v>
          </cell>
          <cell r="L1038">
            <v>2</v>
          </cell>
          <cell r="M1038">
            <v>38.74263749999999</v>
          </cell>
          <cell r="N1038">
            <v>40.679769374999985</v>
          </cell>
          <cell r="O1038">
            <v>45.57957352941175</v>
          </cell>
          <cell r="P1038">
            <v>50.137530882352934</v>
          </cell>
          <cell r="Q1038">
            <v>3</v>
          </cell>
          <cell r="R1038">
            <v>56.97446691176469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20.24</v>
          </cell>
          <cell r="G1039">
            <v>27.323999999999998</v>
          </cell>
          <cell r="H1039">
            <v>1.15</v>
          </cell>
          <cell r="I1039">
            <v>31.422599999999996</v>
          </cell>
          <cell r="J1039">
            <v>34.093520999999996</v>
          </cell>
          <cell r="K1039">
            <v>42.61690124999999</v>
          </cell>
          <cell r="L1039">
            <v>1</v>
          </cell>
          <cell r="M1039">
            <v>44.85989605263157</v>
          </cell>
          <cell r="N1039">
            <v>47.10289085526315</v>
          </cell>
          <cell r="O1039">
            <v>52.77634829721361</v>
          </cell>
          <cell r="P1039">
            <v>58.05398312693497</v>
          </cell>
          <cell r="Q1039">
            <v>3</v>
          </cell>
          <cell r="R1039">
            <v>65.97043537151701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1.15</v>
          </cell>
          <cell r="I1040">
            <v>32.881949999999996</v>
          </cell>
          <cell r="J1040">
            <v>35.67691574999999</v>
          </cell>
          <cell r="K1040">
            <v>50.96702249999999</v>
          </cell>
          <cell r="L1040">
            <v>2</v>
          </cell>
          <cell r="M1040">
            <v>56.63002499999999</v>
          </cell>
          <cell r="N1040">
            <v>59.46152624999999</v>
          </cell>
          <cell r="O1040">
            <v>66.62355882352941</v>
          </cell>
          <cell r="P1040">
            <v>73.28591470588235</v>
          </cell>
          <cell r="Q1040">
            <v>3</v>
          </cell>
          <cell r="R1040">
            <v>83.27944852941175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33.156</v>
          </cell>
          <cell r="H1041">
            <v>1.15</v>
          </cell>
          <cell r="I1041">
            <v>38.1294</v>
          </cell>
          <cell r="J1041">
            <v>41.37039899999999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57.15647230263158</v>
          </cell>
          <cell r="O1041">
            <v>64.04086532507739</v>
          </cell>
          <cell r="P1041">
            <v>70.44495185758514</v>
          </cell>
          <cell r="Q1041">
            <v>3</v>
          </cell>
          <cell r="R1041">
            <v>80.05108165634674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</v>
          </cell>
          <cell r="H1042">
            <v>1.15</v>
          </cell>
          <cell r="I1042">
            <v>18.35055</v>
          </cell>
          <cell r="J1042">
            <v>19.91034675</v>
          </cell>
          <cell r="K1042">
            <v>24.887933437499996</v>
          </cell>
          <cell r="L1042">
            <v>1</v>
          </cell>
          <cell r="M1042">
            <v>26.19782467105263</v>
          </cell>
          <cell r="N1042">
            <v>27.507715904605263</v>
          </cell>
          <cell r="O1042">
            <v>30.82097020123839</v>
          </cell>
          <cell r="P1042">
            <v>33.90306722136223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1.15</v>
          </cell>
          <cell r="I1043">
            <v>20.27565</v>
          </cell>
          <cell r="J1043">
            <v>21.99908025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30.39346613486842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</v>
          </cell>
          <cell r="H1044">
            <v>1.15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7.681500000000001</v>
          </cell>
          <cell r="H1045">
            <v>1</v>
          </cell>
          <cell r="I1045">
            <v>7.681500000000001</v>
          </cell>
          <cell r="J1045">
            <v>8.3344275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</v>
          </cell>
          <cell r="H1046">
            <v>1.15</v>
          </cell>
          <cell r="I1046">
            <v>8.119575000000001</v>
          </cell>
          <cell r="J1046">
            <v>8.809738875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</v>
          </cell>
          <cell r="H1047">
            <v>1</v>
          </cell>
          <cell r="I1047">
            <v>17.4555</v>
          </cell>
          <cell r="J1047">
            <v>18.9392175</v>
          </cell>
          <cell r="K1047">
            <v>23.674021875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32.2494415634675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</v>
          </cell>
          <cell r="H1048">
            <v>1.15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</v>
          </cell>
          <cell r="P1048">
            <v>2.20857544504644</v>
          </cell>
          <cell r="Q1048">
            <v>3</v>
          </cell>
          <cell r="R1048">
            <v>2.509744823916409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1.15</v>
          </cell>
          <cell r="I1049">
            <v>10.758825</v>
          </cell>
          <cell r="J1049">
            <v>11.673325125</v>
          </cell>
          <cell r="K1049">
            <v>14.59165640625</v>
          </cell>
          <cell r="L1049">
            <v>2</v>
          </cell>
          <cell r="M1049">
            <v>16.2129515625</v>
          </cell>
          <cell r="N1049">
            <v>17.023599140625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7.492500000000001</v>
          </cell>
          <cell r="H1050">
            <v>1.15</v>
          </cell>
          <cell r="I1050">
            <v>8.616375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8.9505</v>
          </cell>
          <cell r="H1051">
            <v>1.15</v>
          </cell>
          <cell r="I1051">
            <v>10.293075</v>
          </cell>
          <cell r="J1051">
            <v>11.167986375</v>
          </cell>
          <cell r="K1051">
            <v>13.95998296875</v>
          </cell>
          <cell r="L1051">
            <v>2</v>
          </cell>
          <cell r="M1051">
            <v>15.5110921875</v>
          </cell>
          <cell r="N1051">
            <v>16.286646796875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8.03</v>
          </cell>
          <cell r="G1052">
            <v>10.8405</v>
          </cell>
          <cell r="H1052">
            <v>1.15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18.68755995888158</v>
          </cell>
          <cell r="O1052">
            <v>20.93844253095975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</v>
          </cell>
          <cell r="H1053">
            <v>1.15</v>
          </cell>
          <cell r="I1053">
            <v>8.8803</v>
          </cell>
          <cell r="J1053">
            <v>9.6351255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</v>
          </cell>
          <cell r="O1053">
            <v>14.91505495356037</v>
          </cell>
          <cell r="P1053">
            <v>16.40656044891641</v>
          </cell>
          <cell r="Q1053">
            <v>3</v>
          </cell>
          <cell r="R1053">
            <v>18.64381869195046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</v>
          </cell>
          <cell r="H1054">
            <v>1.15</v>
          </cell>
          <cell r="I1054">
            <v>5.7753</v>
          </cell>
          <cell r="J1054">
            <v>6.266200499999999</v>
          </cell>
          <cell r="K1054">
            <v>7.832750624999998</v>
          </cell>
          <cell r="L1054">
            <v>1</v>
          </cell>
          <cell r="M1054">
            <v>8.245000657894735</v>
          </cell>
          <cell r="N1054">
            <v>8.657250690789473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1.15</v>
          </cell>
          <cell r="I1055">
            <v>4.0986</v>
          </cell>
          <cell r="J1055">
            <v>4.446981</v>
          </cell>
          <cell r="K1055">
            <v>5.558726249999999</v>
          </cell>
          <cell r="L1055">
            <v>1</v>
          </cell>
          <cell r="M1055">
            <v>5.851290789473684</v>
          </cell>
          <cell r="N1055">
            <v>6.143855328947369</v>
          </cell>
          <cell r="O1055">
            <v>6.883871517027864</v>
          </cell>
          <cell r="P1055">
            <v>7.572258668730651</v>
          </cell>
          <cell r="Q1055">
            <v>3</v>
          </cell>
          <cell r="R1055">
            <v>8.604839396284829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</v>
          </cell>
          <cell r="G1056">
            <v>1.4715000000000003</v>
          </cell>
          <cell r="H1056">
            <v>1.15</v>
          </cell>
          <cell r="I1056">
            <v>1.692225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</v>
          </cell>
          <cell r="H1057">
            <v>1.15</v>
          </cell>
          <cell r="I1057">
            <v>2.903175</v>
          </cell>
          <cell r="J1057">
            <v>3.149944875</v>
          </cell>
          <cell r="K1057">
            <v>3.93743109375</v>
          </cell>
          <cell r="L1057">
            <v>3</v>
          </cell>
          <cell r="M1057">
            <v>4.632271875</v>
          </cell>
          <cell r="N1057">
            <v>4.86388546875</v>
          </cell>
          <cell r="O1057">
            <v>5.449731617647059</v>
          </cell>
          <cell r="P1057">
            <v>5.994704779411765</v>
          </cell>
          <cell r="Q1057">
            <v>3</v>
          </cell>
          <cell r="R1057">
            <v>6.812164522058823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</v>
          </cell>
          <cell r="G1058">
            <v>1.5120000000000002</v>
          </cell>
          <cell r="H1058">
            <v>1.15</v>
          </cell>
          <cell r="I1058">
            <v>1.7388000000000001</v>
          </cell>
          <cell r="J1058">
            <v>1.886598</v>
          </cell>
          <cell r="K1058">
            <v>2.3582475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2.920430340557276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1.15</v>
          </cell>
          <cell r="I1059">
            <v>0.2484</v>
          </cell>
          <cell r="J1059">
            <v>0.269514</v>
          </cell>
          <cell r="K1059">
            <v>0.33689249999999993</v>
          </cell>
          <cell r="L1059">
            <v>2</v>
          </cell>
          <cell r="M1059">
            <v>0.3743249999999999</v>
          </cell>
          <cell r="N1059">
            <v>0.3930412499999999</v>
          </cell>
          <cell r="O1059">
            <v>0.4403823529411764</v>
          </cell>
          <cell r="P1059">
            <v>0.48442058823529405</v>
          </cell>
          <cell r="Q1059">
            <v>3</v>
          </cell>
          <cell r="R1059">
            <v>0.5504779411764704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1.15</v>
          </cell>
          <cell r="I1060">
            <v>479.53619999999995</v>
          </cell>
          <cell r="J1060">
            <v>520.2967769999999</v>
          </cell>
          <cell r="K1060">
            <v>743.2811099999999</v>
          </cell>
          <cell r="L1060">
            <v>2</v>
          </cell>
          <cell r="M1060">
            <v>825.8678999999998</v>
          </cell>
          <cell r="N1060">
            <v>867.1612949999999</v>
          </cell>
          <cell r="O1060">
            <v>971.6092941176469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1.15</v>
          </cell>
          <cell r="I1061">
            <v>485.140725</v>
          </cell>
          <cell r="J1061">
            <v>526.3776866249999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</v>
          </cell>
          <cell r="O1061">
            <v>814.8261402863776</v>
          </cell>
          <cell r="P1061">
            <v>896.3087543150154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</v>
          </cell>
          <cell r="H1062">
            <v>1.15</v>
          </cell>
          <cell r="I1062">
            <v>50.95305</v>
          </cell>
          <cell r="J1062">
            <v>55.28405925</v>
          </cell>
          <cell r="K1062">
            <v>69.1050740625</v>
          </cell>
          <cell r="L1062">
            <v>2</v>
          </cell>
          <cell r="M1062">
            <v>76.78341562499999</v>
          </cell>
          <cell r="N1062">
            <v>80.62258640625</v>
          </cell>
          <cell r="O1062">
            <v>90.33343014705882</v>
          </cell>
          <cell r="P1062">
            <v>99.36677316176471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35.2215</v>
          </cell>
          <cell r="H1063">
            <v>1.15</v>
          </cell>
          <cell r="I1063">
            <v>40.50472499999999</v>
          </cell>
          <cell r="J1063">
            <v>43.94762662499999</v>
          </cell>
          <cell r="K1063">
            <v>54.93453328124998</v>
          </cell>
          <cell r="L1063">
            <v>2</v>
          </cell>
          <cell r="M1063">
            <v>61.03837031249998</v>
          </cell>
          <cell r="N1063">
            <v>64.09028882812498</v>
          </cell>
          <cell r="O1063">
            <v>71.80984742647057</v>
          </cell>
          <cell r="P1063">
            <v>78.99083216911764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1.15</v>
          </cell>
          <cell r="I1064">
            <v>34751.066849999996</v>
          </cell>
          <cell r="J1064">
            <v>35446.088186999994</v>
          </cell>
          <cell r="K1064">
            <v>41701.28021999999</v>
          </cell>
          <cell r="L1064">
            <v>1</v>
          </cell>
          <cell r="M1064">
            <v>43896.08444210526</v>
          </cell>
          <cell r="N1064">
            <v>46090.88866421053</v>
          </cell>
          <cell r="O1064">
            <v>51642.45228482972</v>
          </cell>
          <cell r="P1064">
            <v>56806.6975133127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1.15</v>
          </cell>
          <cell r="I1065">
            <v>1779.25815</v>
          </cell>
          <cell r="J1065">
            <v>1814.8433129999999</v>
          </cell>
          <cell r="K1065">
            <v>2135.10978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</v>
          </cell>
          <cell r="Q1065">
            <v>1</v>
          </cell>
          <cell r="R1065">
            <v>3101.103529411764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1.15</v>
          </cell>
          <cell r="I1066">
            <v>2496.1560750000003</v>
          </cell>
          <cell r="J1066">
            <v>2708.3293413750002</v>
          </cell>
          <cell r="K1066">
            <v>3385.41167671875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</v>
          </cell>
          <cell r="P1066">
            <v>4611.7063088428795</v>
          </cell>
          <cell r="Q1066">
            <v>3</v>
          </cell>
          <cell r="R1066">
            <v>5240.575350957817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1.15</v>
          </cell>
          <cell r="I1067">
            <v>201.250575</v>
          </cell>
          <cell r="J1067">
            <v>218.356873875</v>
          </cell>
          <cell r="K1067">
            <v>272.94609234374997</v>
          </cell>
          <cell r="L1067">
            <v>1</v>
          </cell>
          <cell r="M1067">
            <v>287.3116761513158</v>
          </cell>
          <cell r="N1067">
            <v>301.6772599588816</v>
          </cell>
          <cell r="O1067">
            <v>338.0137366486068</v>
          </cell>
          <cell r="P1067">
            <v>371.8151103134675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</v>
          </cell>
          <cell r="H1068">
            <v>1.15</v>
          </cell>
          <cell r="I1068">
            <v>636.1989750000001</v>
          </cell>
          <cell r="J1068">
            <v>690.2758878750001</v>
          </cell>
          <cell r="K1068">
            <v>862.8448598437501</v>
          </cell>
          <cell r="L1068">
            <v>1</v>
          </cell>
          <cell r="M1068">
            <v>908.2577472039475</v>
          </cell>
          <cell r="N1068">
            <v>953.6706345641448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1335.673157652864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1.15</v>
          </cell>
          <cell r="I1069">
            <v>3.586275</v>
          </cell>
          <cell r="J1069">
            <v>3.891108375</v>
          </cell>
          <cell r="K1069">
            <v>5.55872625</v>
          </cell>
          <cell r="L1069">
            <v>2</v>
          </cell>
          <cell r="M1069">
            <v>6.1763625</v>
          </cell>
          <cell r="N1069">
            <v>6.485180625</v>
          </cell>
          <cell r="O1069">
            <v>7.266308823529411</v>
          </cell>
          <cell r="P1069">
            <v>7.992939705882353</v>
          </cell>
          <cell r="Q1069">
            <v>3</v>
          </cell>
          <cell r="R1069">
            <v>9.082886029411764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</v>
          </cell>
          <cell r="H1070">
            <v>1.15</v>
          </cell>
          <cell r="I1070">
            <v>5.2319249999999995</v>
          </cell>
          <cell r="J1070">
            <v>5.676638624999999</v>
          </cell>
          <cell r="K1070">
            <v>8.109483749999999</v>
          </cell>
          <cell r="L1070">
            <v>2</v>
          </cell>
          <cell r="M1070">
            <v>9.010537499999998</v>
          </cell>
          <cell r="N1070">
            <v>9.461064374999998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7.965000000000001</v>
          </cell>
          <cell r="H1071">
            <v>1.15</v>
          </cell>
          <cell r="I1071">
            <v>9.15975</v>
          </cell>
          <cell r="J1071">
            <v>9.93832875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</v>
          </cell>
          <cell r="H1072">
            <v>1.15</v>
          </cell>
          <cell r="I1072">
            <v>6.908625</v>
          </cell>
          <cell r="J1072">
            <v>7.495858125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</v>
          </cell>
          <cell r="H1073">
            <v>1.15</v>
          </cell>
          <cell r="I1073">
            <v>3.0894749999999997</v>
          </cell>
          <cell r="J1073">
            <v>3.3520803749999994</v>
          </cell>
          <cell r="K1073">
            <v>4.78868625</v>
          </cell>
          <cell r="L1073">
            <v>2</v>
          </cell>
          <cell r="M1073">
            <v>5.3207625</v>
          </cell>
          <cell r="N1073">
            <v>5.586800625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4.711500000000001</v>
          </cell>
          <cell r="H1074">
            <v>1.15</v>
          </cell>
          <cell r="I1074">
            <v>5.4182250000000005</v>
          </cell>
          <cell r="J1074">
            <v>5.8787741250000005</v>
          </cell>
          <cell r="K1074">
            <v>7.34846765625</v>
          </cell>
          <cell r="L1074">
            <v>1</v>
          </cell>
          <cell r="M1074">
            <v>7.735229111842106</v>
          </cell>
          <cell r="N1074">
            <v>8.121990567434212</v>
          </cell>
          <cell r="O1074">
            <v>9.100269543343654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</v>
          </cell>
          <cell r="H1075">
            <v>1.15</v>
          </cell>
          <cell r="I1075">
            <v>10.851975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16.3533234375</v>
          </cell>
          <cell r="N1075">
            <v>17.170989609375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1.15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1.15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1.15</v>
          </cell>
          <cell r="I1078">
            <v>35.226225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53.08396406249999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</v>
          </cell>
          <cell r="H1079">
            <v>1.15</v>
          </cell>
          <cell r="I1079">
            <v>18.800775</v>
          </cell>
          <cell r="J1079">
            <v>20.398840875</v>
          </cell>
          <cell r="K1079">
            <v>25.49855109375</v>
          </cell>
          <cell r="L1079">
            <v>2</v>
          </cell>
          <cell r="M1079">
            <v>28.3317234375</v>
          </cell>
          <cell r="N1079">
            <v>29.748309609375</v>
          </cell>
          <cell r="O1079">
            <v>33.33143933823529</v>
          </cell>
          <cell r="P1079">
            <v>36.66458327205883</v>
          </cell>
          <cell r="Q1079">
            <v>3</v>
          </cell>
          <cell r="R1079">
            <v>41.66429917279411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</v>
          </cell>
          <cell r="H1080">
            <v>1.15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37.51507169117646</v>
          </cell>
          <cell r="P1080">
            <v>41.26657886029411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1.15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59.59487953125001</v>
          </cell>
          <cell r="O1081">
            <v>66.7729742647059</v>
          </cell>
          <cell r="P1081">
            <v>73.4502716911765</v>
          </cell>
          <cell r="Q1081">
            <v>3</v>
          </cell>
          <cell r="R1081">
            <v>83.46621783088236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1.15</v>
          </cell>
          <cell r="I1082">
            <v>32.990625</v>
          </cell>
          <cell r="J1082">
            <v>35.794828125</v>
          </cell>
          <cell r="K1082">
            <v>44.74353515625</v>
          </cell>
          <cell r="L1082">
            <v>2</v>
          </cell>
          <cell r="M1082">
            <v>49.7150390625</v>
          </cell>
          <cell r="N1082">
            <v>52.200791015625</v>
          </cell>
          <cell r="O1082">
            <v>58.48828125</v>
          </cell>
          <cell r="P1082">
            <v>64.33710937500001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34.8435</v>
          </cell>
          <cell r="H1083">
            <v>1.15</v>
          </cell>
          <cell r="I1083">
            <v>40.070024999999994</v>
          </cell>
          <cell r="J1083">
            <v>43.47597712499999</v>
          </cell>
          <cell r="K1083">
            <v>54.34497140624999</v>
          </cell>
          <cell r="L1083">
            <v>2</v>
          </cell>
          <cell r="M1083">
            <v>60.38330156249999</v>
          </cell>
          <cell r="N1083">
            <v>63.402466640624986</v>
          </cell>
          <cell r="O1083">
            <v>71.03917830882352</v>
          </cell>
          <cell r="P1083">
            <v>78.14309613970588</v>
          </cell>
          <cell r="Q1083">
            <v>3</v>
          </cell>
          <cell r="R1083">
            <v>88.7989728860294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1.15</v>
          </cell>
          <cell r="I1084">
            <v>21.2382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</v>
          </cell>
          <cell r="N1084">
            <v>36.38439</v>
          </cell>
          <cell r="O1084">
            <v>40.76682352941177</v>
          </cell>
          <cell r="P1084">
            <v>44.84350588235295</v>
          </cell>
          <cell r="Q1084">
            <v>3</v>
          </cell>
          <cell r="R1084">
            <v>50.95852941176471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1.15</v>
          </cell>
          <cell r="I1085">
            <v>145.77975</v>
          </cell>
          <cell r="J1085">
            <v>158.17102875</v>
          </cell>
          <cell r="K1085">
            <v>197.7137859375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</v>
          </cell>
          <cell r="Q1085">
            <v>3</v>
          </cell>
          <cell r="R1085">
            <v>306.0584921633127</v>
          </cell>
        </row>
        <row r="1086">
          <cell r="A1086" t="str">
            <v>D385784</v>
          </cell>
          <cell r="D1086" t="e">
            <v>#N/A</v>
          </cell>
          <cell r="F1086">
            <v>39.16</v>
          </cell>
          <cell r="G1086">
            <v>52.866</v>
          </cell>
          <cell r="H1086">
            <v>1.15</v>
          </cell>
          <cell r="I1086">
            <v>60.795899999999996</v>
          </cell>
          <cell r="J1086">
            <v>65.9635515</v>
          </cell>
          <cell r="K1086">
            <v>82.45443937499999</v>
          </cell>
          <cell r="L1086">
            <v>2</v>
          </cell>
          <cell r="M1086">
            <v>91.61604374999999</v>
          </cell>
          <cell r="N1086">
            <v>96.19684593749999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38.66</v>
          </cell>
          <cell r="G1087">
            <v>52.190999999999995</v>
          </cell>
          <cell r="H1087">
            <v>1.15</v>
          </cell>
          <cell r="I1087">
            <v>60.01964999999999</v>
          </cell>
          <cell r="J1087">
            <v>65.12132024999998</v>
          </cell>
          <cell r="K1087">
            <v>81.40165031249997</v>
          </cell>
          <cell r="L1087">
            <v>2</v>
          </cell>
          <cell r="M1087">
            <v>90.44627812499996</v>
          </cell>
          <cell r="N1087">
            <v>94.96859203124997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</v>
          </cell>
          <cell r="H1088">
            <v>1.15</v>
          </cell>
          <cell r="I1088">
            <v>60.84247499999999</v>
          </cell>
          <cell r="J1088">
            <v>66.014085375</v>
          </cell>
          <cell r="K1088">
            <v>94.30583625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154.0945036764706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1.15</v>
          </cell>
          <cell r="I1089">
            <v>69.55199999999999</v>
          </cell>
          <cell r="J1089">
            <v>75.46391999999999</v>
          </cell>
          <cell r="K1089">
            <v>94.32989999999998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1.15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</v>
          </cell>
          <cell r="N1090">
            <v>305.14740046874994</v>
          </cell>
          <cell r="O1090">
            <v>341.9018492647058</v>
          </cell>
          <cell r="P1090">
            <v>376.0920341911764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362.525625</v>
          </cell>
          <cell r="K1091">
            <v>453.15703125</v>
          </cell>
          <cell r="L1091">
            <v>1</v>
          </cell>
          <cell r="M1091">
            <v>477.0074013157895</v>
          </cell>
          <cell r="N1091">
            <v>500.85777138157897</v>
          </cell>
          <cell r="O1091">
            <v>561.1851780185759</v>
          </cell>
          <cell r="P1091">
            <v>617.3036958204335</v>
          </cell>
          <cell r="Q1091">
            <v>3</v>
          </cell>
          <cell r="R1091">
            <v>701.4814725232198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1.15</v>
          </cell>
          <cell r="I1092">
            <v>302.815125</v>
          </cell>
          <cell r="J1092">
            <v>328.554410625</v>
          </cell>
          <cell r="K1092">
            <v>410.69301328125</v>
          </cell>
          <cell r="L1092">
            <v>1</v>
          </cell>
          <cell r="M1092">
            <v>432.30843503289475</v>
          </cell>
          <cell r="N1092">
            <v>453.9238567845395</v>
          </cell>
          <cell r="O1092">
            <v>508.5981588622291</v>
          </cell>
          <cell r="P1092">
            <v>559.4579747484521</v>
          </cell>
          <cell r="Q1092">
            <v>3</v>
          </cell>
          <cell r="R1092">
            <v>635.7476985777864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1.15</v>
          </cell>
          <cell r="I1093">
            <v>241.9416</v>
          </cell>
          <cell r="J1093">
            <v>262.50663599999996</v>
          </cell>
          <cell r="K1093">
            <v>328.1332949999999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471.8256529411764</v>
          </cell>
          <cell r="Q1093">
            <v>3</v>
          </cell>
          <cell r="R1093">
            <v>536.1655147058822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1.15</v>
          </cell>
          <cell r="I1095">
            <v>230.096025</v>
          </cell>
          <cell r="J1095">
            <v>249.654187125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431.9276593858132</v>
          </cell>
          <cell r="P1095">
            <v>475.12042532439455</v>
          </cell>
          <cell r="Q1095">
            <v>3</v>
          </cell>
          <cell r="R1095">
            <v>539.9095742322664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</v>
          </cell>
          <cell r="H1096">
            <v>1</v>
          </cell>
          <cell r="I1096">
            <v>312.1605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</v>
          </cell>
          <cell r="N1096">
            <v>467.93269687500003</v>
          </cell>
          <cell r="O1096">
            <v>524.2943382352942</v>
          </cell>
          <cell r="P1096">
            <v>576.7237720588237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278.15</v>
          </cell>
          <cell r="G1097">
            <v>375.5025</v>
          </cell>
          <cell r="H1097">
            <v>1.15</v>
          </cell>
          <cell r="I1097">
            <v>431.82787499999995</v>
          </cell>
          <cell r="J1097">
            <v>468.5332443749999</v>
          </cell>
          <cell r="K1097">
            <v>585.6665554687498</v>
          </cell>
          <cell r="L1097">
            <v>1</v>
          </cell>
          <cell r="M1097">
            <v>616.4911110197366</v>
          </cell>
          <cell r="N1097">
            <v>647.3156665707235</v>
          </cell>
          <cell r="O1097">
            <v>725.2836600232196</v>
          </cell>
          <cell r="P1097">
            <v>797.8120260255416</v>
          </cell>
          <cell r="Q1097">
            <v>3</v>
          </cell>
          <cell r="R1097">
            <v>906.6045750290244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50.2065</v>
          </cell>
          <cell r="H1098">
            <v>1.15</v>
          </cell>
          <cell r="I1098">
            <v>57.737474999999996</v>
          </cell>
          <cell r="J1098">
            <v>62.645160374999996</v>
          </cell>
          <cell r="K1098">
            <v>78.30645046874999</v>
          </cell>
          <cell r="L1098">
            <v>2</v>
          </cell>
          <cell r="M1098">
            <v>87.00716718749999</v>
          </cell>
          <cell r="N1098">
            <v>91.357525546875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1.15</v>
          </cell>
          <cell r="I1099">
            <v>268.939575</v>
          </cell>
          <cell r="J1099">
            <v>291.79943887499996</v>
          </cell>
          <cell r="K1099">
            <v>364.7492985937499</v>
          </cell>
          <cell r="L1099">
            <v>2</v>
          </cell>
          <cell r="M1099">
            <v>405.2769984374999</v>
          </cell>
          <cell r="N1099">
            <v>425.54084835937493</v>
          </cell>
          <cell r="O1099">
            <v>476.7964687499999</v>
          </cell>
          <cell r="P1099">
            <v>524.4761156249999</v>
          </cell>
          <cell r="Q1099">
            <v>3</v>
          </cell>
          <cell r="R1099">
            <v>595.9955859374999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1.15</v>
          </cell>
          <cell r="I1100">
            <v>33.2235</v>
          </cell>
          <cell r="J1100">
            <v>36.0474975</v>
          </cell>
          <cell r="K1100">
            <v>45.059371875</v>
          </cell>
          <cell r="L1100">
            <v>1</v>
          </cell>
          <cell r="M1100">
            <v>47.43091776315789</v>
          </cell>
          <cell r="N1100">
            <v>49.80246365131579</v>
          </cell>
          <cell r="O1100">
            <v>55.80107972136223</v>
          </cell>
          <cell r="P1100">
            <v>61.381187693498454</v>
          </cell>
          <cell r="Q1100">
            <v>3</v>
          </cell>
          <cell r="R1100">
            <v>69.75134965170278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1.15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279.0379926954334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1.15</v>
          </cell>
          <cell r="I1102">
            <v>137.660175</v>
          </cell>
          <cell r="J1102">
            <v>149.361289875</v>
          </cell>
          <cell r="K1102">
            <v>186.70161234375</v>
          </cell>
          <cell r="L1102">
            <v>2</v>
          </cell>
          <cell r="M1102">
            <v>207.4462359375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305.0679940257353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</v>
          </cell>
          <cell r="H1103">
            <v>1.15</v>
          </cell>
          <cell r="I1103">
            <v>487.39185</v>
          </cell>
          <cell r="J1103">
            <v>528.82015725</v>
          </cell>
          <cell r="K1103">
            <v>661.0251965624999</v>
          </cell>
          <cell r="L1103">
            <v>2</v>
          </cell>
          <cell r="M1103">
            <v>734.4724406249999</v>
          </cell>
          <cell r="N1103">
            <v>771.1960626562499</v>
          </cell>
          <cell r="O1103">
            <v>864.0852242647057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1.15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530.6290828125</v>
          </cell>
          <cell r="N1104">
            <v>557.160536953125</v>
          </cell>
          <cell r="O1104">
            <v>624.2695091911764</v>
          </cell>
          <cell r="P1104">
            <v>686.6964601102941</v>
          </cell>
          <cell r="Q1104">
            <v>3</v>
          </cell>
          <cell r="R1104">
            <v>780.3368864889705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1.15</v>
          </cell>
          <cell r="I1105">
            <v>285.675525</v>
          </cell>
          <cell r="J1105">
            <v>309.957944625</v>
          </cell>
          <cell r="K1105">
            <v>387.44743078125</v>
          </cell>
          <cell r="L1105">
            <v>1</v>
          </cell>
          <cell r="M1105">
            <v>407.8394008223684</v>
          </cell>
          <cell r="N1105">
            <v>428.23137086348686</v>
          </cell>
          <cell r="O1105">
            <v>479.8110597910217</v>
          </cell>
          <cell r="P1105">
            <v>527.7921657701239</v>
          </cell>
          <cell r="Q1105">
            <v>3</v>
          </cell>
          <cell r="R1105">
            <v>599.7638247387771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1.15</v>
          </cell>
          <cell r="I1106">
            <v>401.212575</v>
          </cell>
          <cell r="J1106">
            <v>435.315643875</v>
          </cell>
          <cell r="K1106">
            <v>544.1445548437499</v>
          </cell>
          <cell r="L1106">
            <v>2</v>
          </cell>
          <cell r="M1106">
            <v>604.6050609374998</v>
          </cell>
          <cell r="N1106">
            <v>634.8353139843748</v>
          </cell>
          <cell r="O1106">
            <v>711.3000716911763</v>
          </cell>
          <cell r="P1106">
            <v>782.430078860294</v>
          </cell>
          <cell r="Q1106">
            <v>3</v>
          </cell>
          <cell r="R1106">
            <v>889.1250896139703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1.15</v>
          </cell>
          <cell r="I1107">
            <v>193.891725</v>
          </cell>
          <cell r="J1107">
            <v>210.372521625</v>
          </cell>
          <cell r="K1107">
            <v>262.96565203125</v>
          </cell>
          <cell r="L1107">
            <v>1</v>
          </cell>
          <cell r="M1107">
            <v>276.80594950657894</v>
          </cell>
          <cell r="N1107">
            <v>290.6462469819079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</v>
          </cell>
          <cell r="H1108">
            <v>1.15</v>
          </cell>
          <cell r="I1108">
            <v>341.1153</v>
          </cell>
          <cell r="J1108">
            <v>370.1101005</v>
          </cell>
          <cell r="K1108">
            <v>462.63762562499994</v>
          </cell>
          <cell r="L1108">
            <v>2</v>
          </cell>
          <cell r="M1108">
            <v>514.0418062499999</v>
          </cell>
          <cell r="N1108">
            <v>539.7438965624999</v>
          </cell>
          <cell r="O1108">
            <v>604.7550661764706</v>
          </cell>
          <cell r="P1108">
            <v>665.2305727941176</v>
          </cell>
          <cell r="Q1108">
            <v>3</v>
          </cell>
          <cell r="R1108">
            <v>755.9438327205881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1.15</v>
          </cell>
          <cell r="I1109">
            <v>686.9812499999999</v>
          </cell>
          <cell r="J1109">
            <v>745.3746562499999</v>
          </cell>
          <cell r="K1109">
            <v>931.7183203124998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1153.830737229102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</v>
          </cell>
          <cell r="H1110">
            <v>1.15</v>
          </cell>
          <cell r="I1110">
            <v>660.9458250000001</v>
          </cell>
          <cell r="J1110">
            <v>717.1262201250001</v>
          </cell>
          <cell r="K1110">
            <v>896.4077751562502</v>
          </cell>
          <cell r="L1110">
            <v>1</v>
          </cell>
          <cell r="M1110">
            <v>943.5871317434213</v>
          </cell>
          <cell r="N1110">
            <v>990.7664883305924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1387.628134916796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1.15</v>
          </cell>
          <cell r="I1111">
            <v>1308.5712</v>
          </cell>
          <cell r="J1111">
            <v>1419.7997520000001</v>
          </cell>
          <cell r="K1111">
            <v>1774.74969</v>
          </cell>
          <cell r="L1111">
            <v>1</v>
          </cell>
          <cell r="M1111">
            <v>1868.157568421053</v>
          </cell>
          <cell r="N1111">
            <v>1961.5654468421058</v>
          </cell>
          <cell r="O1111">
            <v>2197.832433436533</v>
          </cell>
          <cell r="P1111">
            <v>2417.6156767801863</v>
          </cell>
          <cell r="Q1111">
            <v>3</v>
          </cell>
          <cell r="R1111">
            <v>2747.290541795666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</v>
          </cell>
          <cell r="H1112">
            <v>1.15</v>
          </cell>
          <cell r="I1112">
            <v>6019.275374999999</v>
          </cell>
          <cell r="J1112">
            <v>6530.913781874999</v>
          </cell>
          <cell r="K1112">
            <v>8163.642227343748</v>
          </cell>
          <cell r="L1112">
            <v>1</v>
          </cell>
          <cell r="M1112">
            <v>8593.307607730261</v>
          </cell>
          <cell r="N1112">
            <v>9022.972988116775</v>
          </cell>
          <cell r="O1112">
            <v>10109.77365615325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1.15</v>
          </cell>
          <cell r="I1113">
            <v>1350.6439500000001</v>
          </cell>
          <cell r="J1113">
            <v>1465.44868575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</v>
          </cell>
          <cell r="O1113">
            <v>2268.4964175696596</v>
          </cell>
          <cell r="P1113">
            <v>2495.346059326626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</v>
          </cell>
          <cell r="H1114">
            <v>1.15</v>
          </cell>
          <cell r="I1114">
            <v>1086.22215</v>
          </cell>
          <cell r="J1114">
            <v>1178.55103275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1824.382403637771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921.8340000000001</v>
          </cell>
          <cell r="H1115">
            <v>1.15</v>
          </cell>
          <cell r="I1115">
            <v>1060.1091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</v>
          </cell>
          <cell r="Q1115">
            <v>3</v>
          </cell>
          <cell r="R1115">
            <v>2487.496482482699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149.42</v>
          </cell>
          <cell r="G1116">
            <v>201.71699999999998</v>
          </cell>
          <cell r="H1116">
            <v>1.15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</v>
          </cell>
          <cell r="P1116">
            <v>452.38827683823513</v>
          </cell>
          <cell r="Q1116">
            <v>3</v>
          </cell>
          <cell r="R1116">
            <v>514.0775873161763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4404.8205</v>
          </cell>
          <cell r="H1117">
            <v>1</v>
          </cell>
          <cell r="I1117">
            <v>4404.8205</v>
          </cell>
          <cell r="J1117">
            <v>4779.2302425</v>
          </cell>
          <cell r="K1117">
            <v>5974.037803124999</v>
          </cell>
          <cell r="L1117">
            <v>1</v>
          </cell>
          <cell r="M1117">
            <v>6288.460845394737</v>
          </cell>
          <cell r="N1117">
            <v>6602.883887664474</v>
          </cell>
          <cell r="O1117">
            <v>6602.883887664474</v>
          </cell>
          <cell r="P1117">
            <v>7263.1722764309225</v>
          </cell>
          <cell r="Q1117">
            <v>3</v>
          </cell>
          <cell r="R1117">
            <v>8253.604859580591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5489.856000000001</v>
          </cell>
          <cell r="H1118">
            <v>1</v>
          </cell>
          <cell r="I1118">
            <v>5489.856000000001</v>
          </cell>
          <cell r="J1118">
            <v>5956.49376</v>
          </cell>
          <cell r="K1118">
            <v>7445.6172</v>
          </cell>
          <cell r="L1118">
            <v>1</v>
          </cell>
          <cell r="M1118">
            <v>7837.491789473685</v>
          </cell>
          <cell r="N1118">
            <v>8229.366378947369</v>
          </cell>
          <cell r="O1118">
            <v>9220.578575851394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1.15</v>
          </cell>
          <cell r="I1119">
            <v>4181.193</v>
          </cell>
          <cell r="J1119">
            <v>4536.594405</v>
          </cell>
          <cell r="K1119">
            <v>5670.74300625</v>
          </cell>
          <cell r="L1119">
            <v>2</v>
          </cell>
          <cell r="M1119">
            <v>6300.825562499999</v>
          </cell>
          <cell r="N1119">
            <v>6615.866840625</v>
          </cell>
          <cell r="O1119">
            <v>7412.735955882352</v>
          </cell>
          <cell r="P1119">
            <v>8154.009551470588</v>
          </cell>
          <cell r="Q1119">
            <v>3</v>
          </cell>
          <cell r="R1119">
            <v>9265.91994485294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1.15</v>
          </cell>
          <cell r="I1120">
            <v>4395.826125</v>
          </cell>
          <cell r="J1120">
            <v>4769.471345624999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8572.579215992648</v>
          </cell>
          <cell r="Q1120">
            <v>3</v>
          </cell>
          <cell r="R1120">
            <v>9741.567290900733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1.15</v>
          </cell>
          <cell r="I1121">
            <v>3931.877025</v>
          </cell>
          <cell r="J1121">
            <v>4266.086572124999</v>
          </cell>
          <cell r="K1121">
            <v>5332.608215156249</v>
          </cell>
          <cell r="L1121">
            <v>2</v>
          </cell>
          <cell r="M1121">
            <v>5925.1202390624985</v>
          </cell>
          <cell r="N1121">
            <v>6221.376251015624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8713.412116268379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1.15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</v>
          </cell>
          <cell r="O1122">
            <v>3712.857823142416</v>
          </cell>
          <cell r="P1122">
            <v>4084.1436054566575</v>
          </cell>
          <cell r="Q1122">
            <v>3</v>
          </cell>
          <cell r="R1122">
            <v>4641.07227892802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1.15</v>
          </cell>
          <cell r="I1123">
            <v>3971.527875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</v>
          </cell>
          <cell r="N1123">
            <v>6284.1154605468755</v>
          </cell>
          <cell r="O1123">
            <v>7041.025726102942</v>
          </cell>
          <cell r="P1123">
            <v>7745.128298713236</v>
          </cell>
          <cell r="Q1123">
            <v>3</v>
          </cell>
          <cell r="R1123">
            <v>8801.282157628677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72.98100000000001</v>
          </cell>
          <cell r="H1124">
            <v>1.15</v>
          </cell>
          <cell r="I1124">
            <v>83.92815</v>
          </cell>
          <cell r="J1124">
            <v>91.06204275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</v>
          </cell>
          <cell r="H1125">
            <v>1.15</v>
          </cell>
          <cell r="I1125">
            <v>23.753249999999998</v>
          </cell>
          <cell r="J1125">
            <v>25.772276249999997</v>
          </cell>
          <cell r="K1125">
            <v>32.21534531249999</v>
          </cell>
          <cell r="L1125">
            <v>1</v>
          </cell>
          <cell r="M1125">
            <v>33.91088980263157</v>
          </cell>
          <cell r="N1125">
            <v>35.606434292763154</v>
          </cell>
          <cell r="O1125">
            <v>39.895164473684204</v>
          </cell>
          <cell r="P1125">
            <v>43.88468092105263</v>
          </cell>
          <cell r="Q1125">
            <v>3</v>
          </cell>
          <cell r="R1125">
            <v>49.86895559210525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</v>
          </cell>
          <cell r="K1126">
            <v>3268.2234375</v>
          </cell>
          <cell r="L1126">
            <v>1</v>
          </cell>
          <cell r="M1126">
            <v>3440.235197368421</v>
          </cell>
          <cell r="N1126">
            <v>3612.246957236842</v>
          </cell>
          <cell r="O1126">
            <v>3612.246957236842</v>
          </cell>
          <cell r="P1126">
            <v>3973.471652960526</v>
          </cell>
          <cell r="Q1126">
            <v>3</v>
          </cell>
          <cell r="R1126">
            <v>4515.308696546052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510.8670000000001</v>
          </cell>
          <cell r="H1127">
            <v>1</v>
          </cell>
          <cell r="I1127">
            <v>510.8670000000001</v>
          </cell>
          <cell r="J1127">
            <v>554.290695</v>
          </cell>
          <cell r="K1127">
            <v>692.86336875</v>
          </cell>
          <cell r="L1127">
            <v>1</v>
          </cell>
          <cell r="M1127">
            <v>729.3298618421053</v>
          </cell>
          <cell r="N1127">
            <v>765.7963549342106</v>
          </cell>
          <cell r="O1127">
            <v>858.0351315789475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</v>
          </cell>
          <cell r="H1128">
            <v>1.15</v>
          </cell>
          <cell r="I1128">
            <v>6518.745675</v>
          </cell>
          <cell r="J1128">
            <v>7072.839057375</v>
          </cell>
          <cell r="K1128">
            <v>8841.04882171875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5267.079000000001</v>
          </cell>
          <cell r="H1129">
            <v>1.15</v>
          </cell>
          <cell r="I1129">
            <v>6057.140850000001</v>
          </cell>
          <cell r="J1129">
            <v>6571.99782225</v>
          </cell>
          <cell r="K1129">
            <v>8214.9972778125</v>
          </cell>
          <cell r="L1129">
            <v>1</v>
          </cell>
          <cell r="M1129">
            <v>8647.365555592105</v>
          </cell>
          <cell r="N1129">
            <v>9079.73383337171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4391.334000000001</v>
          </cell>
          <cell r="H1130">
            <v>1.15</v>
          </cell>
          <cell r="I1130">
            <v>5050.034100000001</v>
          </cell>
          <cell r="J1130">
            <v>5479.286998500001</v>
          </cell>
          <cell r="K1130">
            <v>6849.108748125001</v>
          </cell>
          <cell r="L1130">
            <v>2</v>
          </cell>
          <cell r="M1130">
            <v>7610.12083125</v>
          </cell>
          <cell r="N1130">
            <v>7990.626872812501</v>
          </cell>
          <cell r="O1130">
            <v>8953.083330882353</v>
          </cell>
          <cell r="P1130">
            <v>9848.39166397059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</v>
          </cell>
          <cell r="G1131">
            <v>6139.489500000001</v>
          </cell>
          <cell r="H1131">
            <v>1</v>
          </cell>
          <cell r="I1131">
            <v>6139.489500000001</v>
          </cell>
          <cell r="J1131">
            <v>6661.3461075000005</v>
          </cell>
          <cell r="K1131">
            <v>8326.682634375</v>
          </cell>
          <cell r="L1131">
            <v>1</v>
          </cell>
          <cell r="M1131">
            <v>8764.92908881579</v>
          </cell>
          <cell r="N1131">
            <v>9203.17554325658</v>
          </cell>
          <cell r="O1131">
            <v>9203.17554325658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</v>
          </cell>
          <cell r="H1132">
            <v>1.15</v>
          </cell>
          <cell r="I1132">
            <v>612.0576</v>
          </cell>
          <cell r="J1132">
            <v>664.082496</v>
          </cell>
          <cell r="K1132">
            <v>830.10312</v>
          </cell>
          <cell r="L1132">
            <v>3</v>
          </cell>
          <cell r="M1132">
            <v>976.591905882353</v>
          </cell>
          <cell r="N1132">
            <v>1025.4215011764707</v>
          </cell>
          <cell r="O1132">
            <v>1148.931653979239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1.15</v>
          </cell>
          <cell r="I1133">
            <v>2703.197475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</v>
          </cell>
          <cell r="P1133">
            <v>5271.676775183823</v>
          </cell>
          <cell r="Q1133">
            <v>3</v>
          </cell>
          <cell r="R1133">
            <v>5990.541789981617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4107.726000000001</v>
          </cell>
          <cell r="H1134">
            <v>1.15</v>
          </cell>
          <cell r="I1134">
            <v>4723.8849</v>
          </cell>
          <cell r="J1134">
            <v>5125.4151165</v>
          </cell>
          <cell r="K1134">
            <v>6406.768895625</v>
          </cell>
          <cell r="L1134">
            <v>2</v>
          </cell>
          <cell r="M1134">
            <v>7118.63210625</v>
          </cell>
          <cell r="N1134">
            <v>7474.5637115625</v>
          </cell>
          <cell r="O1134">
            <v>8374.861301470588</v>
          </cell>
          <cell r="P1134">
            <v>9212.347431617647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1.15</v>
          </cell>
          <cell r="I1135">
            <v>919.281825</v>
          </cell>
          <cell r="J1135">
            <v>997.420780125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5650.155000000001</v>
          </cell>
          <cell r="H1136">
            <v>1</v>
          </cell>
          <cell r="I1136">
            <v>5650.155000000001</v>
          </cell>
          <cell r="J1136">
            <v>6130.418175000001</v>
          </cell>
          <cell r="K1136">
            <v>7663.02271875</v>
          </cell>
          <cell r="L1136">
            <v>1</v>
          </cell>
          <cell r="M1136">
            <v>8066.339703947369</v>
          </cell>
          <cell r="N1136">
            <v>8469.656689144738</v>
          </cell>
          <cell r="O1136">
            <v>8469.656689144738</v>
          </cell>
          <cell r="P1136">
            <v>9316.622358059212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1.15</v>
          </cell>
          <cell r="I1137">
            <v>2839.49145</v>
          </cell>
          <cell r="J1137">
            <v>3080.84822325</v>
          </cell>
          <cell r="K1137">
            <v>3851.0602790625</v>
          </cell>
          <cell r="L1137">
            <v>3</v>
          </cell>
          <cell r="M1137">
            <v>4530.659151838236</v>
          </cell>
          <cell r="N1137">
            <v>4757.192109430148</v>
          </cell>
          <cell r="O1137">
            <v>5330.187237456748</v>
          </cell>
          <cell r="P1137">
            <v>5863.205961202424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</v>
          </cell>
          <cell r="H1139">
            <v>1.15</v>
          </cell>
          <cell r="I1139">
            <v>643.75965</v>
          </cell>
          <cell r="J1139">
            <v>698.4792202499999</v>
          </cell>
          <cell r="K1139">
            <v>873.0990253124999</v>
          </cell>
          <cell r="L1139">
            <v>1</v>
          </cell>
          <cell r="M1139">
            <v>919.0516055921051</v>
          </cell>
          <cell r="N1139">
            <v>965.0041858717104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4003.548415090461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4422.748500000001</v>
          </cell>
          <cell r="H1141">
            <v>1.15</v>
          </cell>
          <cell r="I1141">
            <v>5086.160775</v>
          </cell>
          <cell r="J1141">
            <v>5518.4844408750005</v>
          </cell>
          <cell r="K1141">
            <v>6898.10555109375</v>
          </cell>
          <cell r="L1141">
            <v>2</v>
          </cell>
          <cell r="M1141">
            <v>7664.5617234375</v>
          </cell>
          <cell r="N1141">
            <v>8047.789809609376</v>
          </cell>
          <cell r="O1141">
            <v>9017.131439338236</v>
          </cell>
          <cell r="P1141">
            <v>9918.84458327206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1.15</v>
          </cell>
          <cell r="I1142">
            <v>2575.1628</v>
          </cell>
          <cell r="J1142">
            <v>2794.051638</v>
          </cell>
          <cell r="K1142">
            <v>3492.5645474999997</v>
          </cell>
          <cell r="L1142">
            <v>1</v>
          </cell>
          <cell r="M1142">
            <v>3676.383734210526</v>
          </cell>
          <cell r="N1142">
            <v>3860.2029209210527</v>
          </cell>
          <cell r="O1142">
            <v>4325.157334365325</v>
          </cell>
          <cell r="P1142">
            <v>4757.673067801858</v>
          </cell>
          <cell r="Q1142">
            <v>3</v>
          </cell>
          <cell r="R1142">
            <v>5406.446667956657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86.07600000000001</v>
          </cell>
          <cell r="H1143">
            <v>1.15</v>
          </cell>
          <cell r="I1143">
            <v>98.98740000000001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</v>
          </cell>
          <cell r="P1143">
            <v>182.88151996904023</v>
          </cell>
          <cell r="Q1143">
            <v>3</v>
          </cell>
          <cell r="R1143">
            <v>207.8199090557275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546.3</v>
          </cell>
          <cell r="G1144">
            <v>737.505</v>
          </cell>
          <cell r="H1144">
            <v>1.15</v>
          </cell>
          <cell r="I1144">
            <v>848.1307499999999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</v>
          </cell>
          <cell r="H1145">
            <v>1</v>
          </cell>
          <cell r="I1145">
            <v>679.671</v>
          </cell>
          <cell r="J1145">
            <v>737.443035</v>
          </cell>
          <cell r="K1145">
            <v>921.80379375</v>
          </cell>
          <cell r="L1145">
            <v>1</v>
          </cell>
          <cell r="M1145">
            <v>970.3197828947368</v>
          </cell>
          <cell r="N1145">
            <v>1018.8357720394737</v>
          </cell>
          <cell r="O1145">
            <v>1141.552685758514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595.81</v>
          </cell>
          <cell r="G1146">
            <v>804.3435</v>
          </cell>
          <cell r="H1146">
            <v>1.15</v>
          </cell>
          <cell r="I1146">
            <v>924.9950249999998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</v>
          </cell>
          <cell r="H1147">
            <v>1.15</v>
          </cell>
          <cell r="I1147">
            <v>401.523075</v>
          </cell>
          <cell r="J1147">
            <v>435.652536375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601.8883726233554</v>
          </cell>
          <cell r="O1147">
            <v>674.3847312306502</v>
          </cell>
          <cell r="P1147">
            <v>741.8232043537154</v>
          </cell>
          <cell r="Q1147">
            <v>3</v>
          </cell>
          <cell r="R1147">
            <v>842.9809140383128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1.15</v>
          </cell>
          <cell r="I1148">
            <v>758.7067499999999</v>
          </cell>
          <cell r="J1148">
            <v>823.1968237499999</v>
          </cell>
          <cell r="K1148">
            <v>1028.9960296875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1.15</v>
          </cell>
          <cell r="I1149">
            <v>395.996175</v>
          </cell>
          <cell r="J1149">
            <v>429.655849875</v>
          </cell>
          <cell r="K1149">
            <v>537.06981234375</v>
          </cell>
          <cell r="L1149">
            <v>1</v>
          </cell>
          <cell r="M1149">
            <v>565.3366445723684</v>
          </cell>
          <cell r="N1149">
            <v>593.6034768009869</v>
          </cell>
          <cell r="O1149">
            <v>665.1019347910217</v>
          </cell>
          <cell r="P1149">
            <v>731.6121282701239</v>
          </cell>
          <cell r="Q1149">
            <v>3</v>
          </cell>
          <cell r="R1149">
            <v>831.377418488777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1.15</v>
          </cell>
          <cell r="I1150">
            <v>529.092</v>
          </cell>
          <cell r="J1150">
            <v>574.0648199999999</v>
          </cell>
          <cell r="K1150">
            <v>717.5810249999998</v>
          </cell>
          <cell r="L1150">
            <v>1</v>
          </cell>
          <cell r="M1150">
            <v>755.3484473684209</v>
          </cell>
          <cell r="N1150">
            <v>793.115869736842</v>
          </cell>
          <cell r="O1150">
            <v>888.6452321981423</v>
          </cell>
          <cell r="P1150">
            <v>977.5097554179565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</v>
          </cell>
          <cell r="G1151">
            <v>393.99750000000006</v>
          </cell>
          <cell r="H1151">
            <v>1.15</v>
          </cell>
          <cell r="I1151">
            <v>453.097125</v>
          </cell>
          <cell r="J1151">
            <v>491.610380625</v>
          </cell>
          <cell r="K1151">
            <v>614.51297578125</v>
          </cell>
          <cell r="L1151">
            <v>1</v>
          </cell>
          <cell r="M1151">
            <v>646.8557639802632</v>
          </cell>
          <cell r="N1151">
            <v>679.1985521792764</v>
          </cell>
          <cell r="O1151">
            <v>761.0067811532508</v>
          </cell>
          <cell r="P1151">
            <v>837.107459268576</v>
          </cell>
          <cell r="Q1151">
            <v>3</v>
          </cell>
          <cell r="R1151">
            <v>951.2584764415635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</v>
          </cell>
          <cell r="G1152">
            <v>393.99750000000006</v>
          </cell>
          <cell r="H1152">
            <v>1.15</v>
          </cell>
          <cell r="I1152">
            <v>453.097125</v>
          </cell>
          <cell r="J1152">
            <v>491.610380625</v>
          </cell>
          <cell r="K1152">
            <v>614.51297578125</v>
          </cell>
          <cell r="L1152">
            <v>1</v>
          </cell>
          <cell r="M1152">
            <v>646.8557639802632</v>
          </cell>
          <cell r="N1152">
            <v>679.1985521792764</v>
          </cell>
          <cell r="O1152">
            <v>761.0067811532508</v>
          </cell>
          <cell r="P1152">
            <v>837.107459268576</v>
          </cell>
          <cell r="Q1152">
            <v>3</v>
          </cell>
          <cell r="R1152">
            <v>951.2584764415635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1.15</v>
          </cell>
          <cell r="I1153">
            <v>380.222775</v>
          </cell>
          <cell r="J1153">
            <v>412.541710875</v>
          </cell>
          <cell r="K1153">
            <v>515.67713859375</v>
          </cell>
          <cell r="L1153">
            <v>2</v>
          </cell>
          <cell r="M1153">
            <v>572.9745984374999</v>
          </cell>
          <cell r="N1153">
            <v>601.6233283593749</v>
          </cell>
          <cell r="O1153">
            <v>674.087762867647</v>
          </cell>
          <cell r="P1153">
            <v>741.4965391544118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354.051</v>
          </cell>
          <cell r="H1154">
            <v>1.15</v>
          </cell>
          <cell r="I1154">
            <v>407.15864999999997</v>
          </cell>
          <cell r="J1154">
            <v>441.76713524999997</v>
          </cell>
          <cell r="K1154">
            <v>552.2089190625</v>
          </cell>
          <cell r="L1154">
            <v>2</v>
          </cell>
          <cell r="M1154">
            <v>613.5654656249999</v>
          </cell>
          <cell r="N1154">
            <v>644.2437389062499</v>
          </cell>
          <cell r="O1154">
            <v>721.8417242647058</v>
          </cell>
          <cell r="P1154">
            <v>794.0258966911765</v>
          </cell>
          <cell r="Q1154">
            <v>3</v>
          </cell>
          <cell r="R1154">
            <v>902.3021553308822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1.15</v>
          </cell>
          <cell r="I1155">
            <v>438.8607</v>
          </cell>
          <cell r="J1155">
            <v>476.1638595</v>
          </cell>
          <cell r="K1155">
            <v>595.2048243749999</v>
          </cell>
          <cell r="L1155">
            <v>2</v>
          </cell>
          <cell r="M1155">
            <v>661.33869375</v>
          </cell>
          <cell r="N1155">
            <v>694.4056284375</v>
          </cell>
          <cell r="O1155">
            <v>778.0455220588235</v>
          </cell>
          <cell r="P1155">
            <v>855.8500742647059</v>
          </cell>
          <cell r="Q1155">
            <v>3</v>
          </cell>
          <cell r="R1155">
            <v>972.5569025735293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</v>
          </cell>
          <cell r="G1156">
            <v>202.52700000000002</v>
          </cell>
          <cell r="H1156">
            <v>1.15</v>
          </cell>
          <cell r="I1156">
            <v>232.90605</v>
          </cell>
          <cell r="J1156">
            <v>252.70306424999998</v>
          </cell>
          <cell r="K1156">
            <v>315.8788303125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516.1418795955882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1.15</v>
          </cell>
          <cell r="I1157">
            <v>388.9944</v>
          </cell>
          <cell r="J1157">
            <v>422.058924</v>
          </cell>
          <cell r="K1157">
            <v>602.94132</v>
          </cell>
          <cell r="L1157">
            <v>1</v>
          </cell>
          <cell r="M1157">
            <v>634.6750736842106</v>
          </cell>
          <cell r="N1157">
            <v>666.4088273684212</v>
          </cell>
          <cell r="O1157">
            <v>746.6765572755419</v>
          </cell>
          <cell r="P1157">
            <v>821.3442130030961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1.15</v>
          </cell>
          <cell r="I1158">
            <v>572.8104</v>
          </cell>
          <cell r="J1158">
            <v>621.499284</v>
          </cell>
          <cell r="K1158">
            <v>776.874105</v>
          </cell>
          <cell r="L1158">
            <v>1</v>
          </cell>
          <cell r="M1158">
            <v>817.7622157894737</v>
          </cell>
          <cell r="N1158">
            <v>858.6503265789473</v>
          </cell>
          <cell r="O1158">
            <v>962.0731950464397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17.226</v>
          </cell>
          <cell r="H1159">
            <v>1.15</v>
          </cell>
          <cell r="I1159">
            <v>19.8099</v>
          </cell>
          <cell r="J1159">
            <v>21.4937415</v>
          </cell>
          <cell r="K1159">
            <v>26.867176875</v>
          </cell>
          <cell r="L1159">
            <v>2</v>
          </cell>
          <cell r="M1159">
            <v>29.85241875</v>
          </cell>
          <cell r="N1159">
            <v>31.345039687499998</v>
          </cell>
          <cell r="O1159">
            <v>35.120492647058825</v>
          </cell>
          <cell r="P1159">
            <v>38.63254191176471</v>
          </cell>
          <cell r="Q1159">
            <v>3</v>
          </cell>
          <cell r="R1159">
            <v>43.90061580882353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1.15</v>
          </cell>
          <cell r="I1160">
            <v>181.471725</v>
          </cell>
          <cell r="J1160">
            <v>185.1011595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269.6793436532508</v>
          </cell>
          <cell r="P1160">
            <v>296.6472780185759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</v>
          </cell>
          <cell r="G1161">
            <v>92.34000000000002</v>
          </cell>
          <cell r="H1161">
            <v>1.15</v>
          </cell>
          <cell r="I1161">
            <v>106.19100000000002</v>
          </cell>
          <cell r="J1161">
            <v>115.21723500000002</v>
          </cell>
          <cell r="K1161">
            <v>144.02154375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1.15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319.4481437693499</v>
          </cell>
          <cell r="P1162">
            <v>351.3929581462849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1.15</v>
          </cell>
          <cell r="I1163">
            <v>220.315275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314.5290439144737</v>
          </cell>
          <cell r="N1163">
            <v>330.2554961101974</v>
          </cell>
          <cell r="O1163">
            <v>370.0341693111455</v>
          </cell>
          <cell r="P1163">
            <v>407.0375862422601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295.59</v>
          </cell>
          <cell r="G1164">
            <v>399.0465</v>
          </cell>
          <cell r="H1164">
            <v>1.15</v>
          </cell>
          <cell r="I1164">
            <v>458.90347499999996</v>
          </cell>
          <cell r="J1164">
            <v>497.9102703749999</v>
          </cell>
          <cell r="K1164">
            <v>622.3878379687499</v>
          </cell>
          <cell r="L1164">
            <v>1</v>
          </cell>
          <cell r="M1164">
            <v>655.1450925986841</v>
          </cell>
          <cell r="N1164">
            <v>687.9023472286183</v>
          </cell>
          <cell r="O1164">
            <v>770.7589324690401</v>
          </cell>
          <cell r="P1164">
            <v>847.8348257159442</v>
          </cell>
          <cell r="Q1164">
            <v>3</v>
          </cell>
          <cell r="R1164">
            <v>963.4486655863001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1.15</v>
          </cell>
          <cell r="I1165">
            <v>351.128925</v>
          </cell>
          <cell r="J1165">
            <v>380.97488362499996</v>
          </cell>
          <cell r="K1165">
            <v>476.2186045312499</v>
          </cell>
          <cell r="L1165">
            <v>1</v>
          </cell>
          <cell r="M1165">
            <v>501.282741611842</v>
          </cell>
          <cell r="N1165">
            <v>526.3468786924342</v>
          </cell>
          <cell r="O1165">
            <v>589.7444018962848</v>
          </cell>
          <cell r="P1165">
            <v>648.7188420859134</v>
          </cell>
          <cell r="Q1165">
            <v>3</v>
          </cell>
          <cell r="R1165">
            <v>737.180502370356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</v>
          </cell>
          <cell r="H1166">
            <v>1.15</v>
          </cell>
          <cell r="I1166">
            <v>381.26295</v>
          </cell>
          <cell r="J1166">
            <v>413.67030074999997</v>
          </cell>
          <cell r="K1166">
            <v>517.0878759374999</v>
          </cell>
          <cell r="L1166">
            <v>1</v>
          </cell>
          <cell r="M1166">
            <v>544.3030273026316</v>
          </cell>
          <cell r="N1166">
            <v>571.5181786677632</v>
          </cell>
          <cell r="O1166">
            <v>640.3565027089783</v>
          </cell>
          <cell r="P1166">
            <v>704.3921529798762</v>
          </cell>
          <cell r="Q1166">
            <v>3</v>
          </cell>
          <cell r="R1166">
            <v>800.4456283862228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</v>
          </cell>
          <cell r="H1167">
            <v>1.15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</v>
          </cell>
          <cell r="Q1167">
            <v>1</v>
          </cell>
          <cell r="R1167">
            <v>324.5862538699691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1.15</v>
          </cell>
          <cell r="I1168">
            <v>62.643375</v>
          </cell>
          <cell r="J1168">
            <v>67.968061875</v>
          </cell>
          <cell r="K1168">
            <v>84.96007734375</v>
          </cell>
          <cell r="L1168">
            <v>2</v>
          </cell>
          <cell r="M1168">
            <v>94.4000859375</v>
          </cell>
          <cell r="N1168">
            <v>99.120090234375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1.15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285.5604319852941</v>
          </cell>
          <cell r="P1169">
            <v>314.1164751838235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1.15</v>
          </cell>
          <cell r="I1170">
            <v>71.41499999999999</v>
          </cell>
          <cell r="J1170">
            <v>77.48527499999999</v>
          </cell>
          <cell r="K1170">
            <v>96.85659374999997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</v>
          </cell>
          <cell r="G1171">
            <v>94.55400000000002</v>
          </cell>
          <cell r="H1171">
            <v>1.15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</v>
          </cell>
          <cell r="N1171">
            <v>172.0538071875</v>
          </cell>
          <cell r="O1171">
            <v>192.777375</v>
          </cell>
          <cell r="P1171">
            <v>212.05511250000004</v>
          </cell>
          <cell r="Q1171">
            <v>3</v>
          </cell>
          <cell r="R1171">
            <v>240.97171875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1.15</v>
          </cell>
          <cell r="I1172">
            <v>55.61055</v>
          </cell>
          <cell r="J1172">
            <v>60.337446750000005</v>
          </cell>
          <cell r="K1172">
            <v>75.4218084375</v>
          </cell>
          <cell r="L1172">
            <v>1</v>
          </cell>
          <cell r="M1172">
            <v>79.39137730263158</v>
          </cell>
          <cell r="N1172">
            <v>83.36094616776316</v>
          </cell>
          <cell r="O1172">
            <v>93.40162035603716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</v>
          </cell>
          <cell r="H1173">
            <v>1.15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</v>
          </cell>
          <cell r="H1174">
            <v>1.15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</v>
          </cell>
          <cell r="H1175">
            <v>1.15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</v>
          </cell>
          <cell r="H1176">
            <v>1.15</v>
          </cell>
          <cell r="I1176">
            <v>76.274325</v>
          </cell>
          <cell r="J1176">
            <v>82.757642625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1.15</v>
          </cell>
          <cell r="I1177">
            <v>16.689375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</v>
          </cell>
          <cell r="H1178">
            <v>1.15</v>
          </cell>
          <cell r="I1178">
            <v>74.7684</v>
          </cell>
          <cell r="J1178">
            <v>81.12371399999999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74.7495</v>
          </cell>
          <cell r="H1179">
            <v>1.15</v>
          </cell>
          <cell r="I1179">
            <v>85.961925</v>
          </cell>
          <cell r="J1179">
            <v>93.268688625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</v>
          </cell>
          <cell r="H1180">
            <v>1.15</v>
          </cell>
          <cell r="I1180">
            <v>41.4207</v>
          </cell>
          <cell r="J1180">
            <v>44.94145949999999</v>
          </cell>
          <cell r="K1180">
            <v>56.17682437499999</v>
          </cell>
          <cell r="L1180">
            <v>1</v>
          </cell>
          <cell r="M1180">
            <v>59.13349934210525</v>
          </cell>
          <cell r="N1180">
            <v>62.09017430921052</v>
          </cell>
          <cell r="O1180">
            <v>69.56882275541794</v>
          </cell>
          <cell r="P1180">
            <v>76.52570503095974</v>
          </cell>
          <cell r="Q1180">
            <v>3</v>
          </cell>
          <cell r="R1180">
            <v>86.96102844427242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</v>
          </cell>
          <cell r="H1181">
            <v>1.15</v>
          </cell>
          <cell r="I1181">
            <v>66.120975</v>
          </cell>
          <cell r="J1181">
            <v>71.741257875</v>
          </cell>
          <cell r="K1181">
            <v>89.67657234375</v>
          </cell>
          <cell r="L1181">
            <v>1</v>
          </cell>
          <cell r="M1181">
            <v>94.39639194078947</v>
          </cell>
          <cell r="N1181">
            <v>99.11621153782895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</v>
          </cell>
          <cell r="H1182">
            <v>1.15</v>
          </cell>
          <cell r="I1182">
            <v>16.73595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</v>
          </cell>
          <cell r="Q1182">
            <v>3</v>
          </cell>
          <cell r="R1182">
            <v>37.0884512867647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</v>
          </cell>
          <cell r="H1183">
            <v>1.15</v>
          </cell>
          <cell r="I1183">
            <v>85.278825</v>
          </cell>
          <cell r="J1183">
            <v>92.527525125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48.519</v>
          </cell>
          <cell r="H1184">
            <v>1.15</v>
          </cell>
          <cell r="I1184">
            <v>55.79684999999999</v>
          </cell>
          <cell r="J1184">
            <v>60.53958224999999</v>
          </cell>
          <cell r="K1184">
            <v>75.67447781249999</v>
          </cell>
          <cell r="L1184">
            <v>2</v>
          </cell>
          <cell r="M1184">
            <v>84.08275312499998</v>
          </cell>
          <cell r="N1184">
            <v>88.28689078124998</v>
          </cell>
          <cell r="O1184">
            <v>98.92088602941175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1.15</v>
          </cell>
          <cell r="I1185">
            <v>26.330400000000004</v>
          </cell>
          <cell r="J1185">
            <v>28.568484000000005</v>
          </cell>
          <cell r="K1185">
            <v>35.710605</v>
          </cell>
          <cell r="L1185">
            <v>2</v>
          </cell>
          <cell r="M1185">
            <v>39.67845</v>
          </cell>
          <cell r="N1185">
            <v>41.6623725</v>
          </cell>
          <cell r="O1185">
            <v>46.6805294117647</v>
          </cell>
          <cell r="P1185">
            <v>51.34858235294118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1.15</v>
          </cell>
          <cell r="I1186">
            <v>62.270775</v>
          </cell>
          <cell r="J1186">
            <v>67.563790875</v>
          </cell>
          <cell r="K1186">
            <v>84.45473859375</v>
          </cell>
          <cell r="L1186">
            <v>2</v>
          </cell>
          <cell r="M1186">
            <v>93.8385984375</v>
          </cell>
          <cell r="N1186">
            <v>98.530528359375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</v>
          </cell>
          <cell r="H1187">
            <v>1.15</v>
          </cell>
          <cell r="I1187">
            <v>19.21995</v>
          </cell>
          <cell r="J1187">
            <v>20.853645750000002</v>
          </cell>
          <cell r="K1187">
            <v>26.0670571875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</v>
          </cell>
          <cell r="P1187">
            <v>35.50930390866874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</v>
          </cell>
          <cell r="H1188">
            <v>1.15</v>
          </cell>
          <cell r="I1188">
            <v>28.053675</v>
          </cell>
          <cell r="J1188">
            <v>30.438237374999996</v>
          </cell>
          <cell r="K1188">
            <v>38.04779671874999</v>
          </cell>
          <cell r="L1188">
            <v>2</v>
          </cell>
          <cell r="M1188">
            <v>42.27532968749999</v>
          </cell>
          <cell r="N1188">
            <v>44.38909617187499</v>
          </cell>
          <cell r="O1188">
            <v>49.73568198529411</v>
          </cell>
          <cell r="P1188">
            <v>54.70925018382352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5.670000000000001</v>
          </cell>
          <cell r="H1189">
            <v>1.15</v>
          </cell>
          <cell r="I1189">
            <v>6.5205</v>
          </cell>
          <cell r="J1189">
            <v>7.0747425</v>
          </cell>
          <cell r="K1189">
            <v>8.843428124999999</v>
          </cell>
          <cell r="L1189">
            <v>1</v>
          </cell>
          <cell r="M1189">
            <v>9.308871710526315</v>
          </cell>
          <cell r="N1189">
            <v>9.774315296052631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1.15</v>
          </cell>
          <cell r="I1190">
            <v>7.374375</v>
          </cell>
          <cell r="J1190">
            <v>8.001196875</v>
          </cell>
          <cell r="K1190">
            <v>10.00149609375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1.15</v>
          </cell>
          <cell r="I1191">
            <v>4.921425</v>
          </cell>
          <cell r="J1191">
            <v>5.339746125</v>
          </cell>
          <cell r="K1191">
            <v>6.674682656249999</v>
          </cell>
          <cell r="L1191">
            <v>3</v>
          </cell>
          <cell r="M1191">
            <v>7.852567830882352</v>
          </cell>
          <cell r="N1191">
            <v>8.24519622242647</v>
          </cell>
          <cell r="O1191">
            <v>9.23831509515571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1.15</v>
          </cell>
          <cell r="I1192">
            <v>2.7479250000000004</v>
          </cell>
          <cell r="J1192">
            <v>2.9814986250000004</v>
          </cell>
          <cell r="K1192">
            <v>4.259283750000001</v>
          </cell>
          <cell r="L1192">
            <v>1</v>
          </cell>
          <cell r="M1192">
            <v>4.4834565789473695</v>
          </cell>
          <cell r="N1192">
            <v>4.707629407894738</v>
          </cell>
          <cell r="O1192">
            <v>5.2746547987616115</v>
          </cell>
          <cell r="P1192">
            <v>5.802120278637773</v>
          </cell>
          <cell r="Q1192">
            <v>3</v>
          </cell>
          <cell r="R1192">
            <v>6.593318498452014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</v>
          </cell>
          <cell r="H1193">
            <v>1.15</v>
          </cell>
          <cell r="I1193">
            <v>4713.840225</v>
          </cell>
          <cell r="J1193">
            <v>5114.516644124999</v>
          </cell>
          <cell r="K1193">
            <v>6393.145805156249</v>
          </cell>
          <cell r="L1193">
            <v>2</v>
          </cell>
          <cell r="M1193">
            <v>7103.495339062498</v>
          </cell>
          <cell r="N1193">
            <v>7458.670106015623</v>
          </cell>
          <cell r="O1193">
            <v>8357.053340073528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3854.493</v>
          </cell>
          <cell r="H1194">
            <v>1.15</v>
          </cell>
          <cell r="I1194">
            <v>4432.66695</v>
          </cell>
          <cell r="J1194">
            <v>4521.320289</v>
          </cell>
          <cell r="K1194">
            <v>5319.20034</v>
          </cell>
          <cell r="L1194">
            <v>3</v>
          </cell>
          <cell r="M1194">
            <v>6257.882752941177</v>
          </cell>
          <cell r="N1194">
            <v>6570.776890588237</v>
          </cell>
          <cell r="O1194">
            <v>7362.215003460209</v>
          </cell>
          <cell r="P1194">
            <v>8098.436503806231</v>
          </cell>
          <cell r="Q1194">
            <v>2</v>
          </cell>
          <cell r="R1194">
            <v>8661.42941583554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38235.2535</v>
          </cell>
          <cell r="H1195">
            <v>1.15</v>
          </cell>
          <cell r="I1195">
            <v>43970.54152499999</v>
          </cell>
          <cell r="J1195">
            <v>44849.95235549999</v>
          </cell>
          <cell r="K1195">
            <v>52764.64982999999</v>
          </cell>
          <cell r="L1195">
            <v>1</v>
          </cell>
          <cell r="M1195">
            <v>55541.736663157884</v>
          </cell>
          <cell r="N1195">
            <v>58318.82349631578</v>
          </cell>
          <cell r="O1195">
            <v>65343.21960371516</v>
          </cell>
          <cell r="P1195">
            <v>71877.54156408668</v>
          </cell>
          <cell r="Q1195">
            <v>1</v>
          </cell>
          <cell r="R1195">
            <v>72603.57733746129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26104.96</v>
          </cell>
          <cell r="G1196">
            <v>35241.696</v>
          </cell>
          <cell r="H1196">
            <v>1.15</v>
          </cell>
          <cell r="I1196">
            <v>40527.9504</v>
          </cell>
          <cell r="J1196">
            <v>41338.509408000005</v>
          </cell>
          <cell r="K1196">
            <v>48633.54048000001</v>
          </cell>
          <cell r="L1196">
            <v>1</v>
          </cell>
          <cell r="M1196">
            <v>51193.20050526317</v>
          </cell>
          <cell r="N1196">
            <v>53752.86053052633</v>
          </cell>
          <cell r="O1196">
            <v>60227.29471207432</v>
          </cell>
          <cell r="P1196">
            <v>66250.02418328176</v>
          </cell>
          <cell r="Q1196">
            <v>1</v>
          </cell>
          <cell r="R1196">
            <v>66919.21634674924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4435.2495</v>
          </cell>
          <cell r="H1197">
            <v>1.15</v>
          </cell>
          <cell r="I1197">
            <v>5100.536924999999</v>
          </cell>
          <cell r="J1197">
            <v>5202.5476634999995</v>
          </cell>
          <cell r="K1197">
            <v>6120.64431</v>
          </cell>
          <cell r="L1197">
            <v>2</v>
          </cell>
          <cell r="M1197">
            <v>6800.715899999999</v>
          </cell>
          <cell r="N1197">
            <v>7140.751695</v>
          </cell>
          <cell r="O1197">
            <v>8000.842235294117</v>
          </cell>
          <cell r="P1197">
            <v>8800.92645882353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</v>
          </cell>
          <cell r="H1198">
            <v>1.15</v>
          </cell>
          <cell r="I1198">
            <v>6.287625</v>
          </cell>
          <cell r="J1198">
            <v>6.822073125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</v>
          </cell>
          <cell r="P1198">
            <v>11.61653318498452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</v>
          </cell>
          <cell r="Q1199">
            <v>3</v>
          </cell>
          <cell r="R1199">
            <v>291.9949690402477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1.15</v>
          </cell>
          <cell r="I1200">
            <v>1474.71975</v>
          </cell>
          <cell r="J1200">
            <v>1600.07092875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2210.624309457237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1.15</v>
          </cell>
          <cell r="I1201">
            <v>324.06885</v>
          </cell>
          <cell r="J1201">
            <v>351.61470225</v>
          </cell>
          <cell r="K1201">
            <v>439.5183778125</v>
          </cell>
          <cell r="L1201">
            <v>1</v>
          </cell>
          <cell r="M1201">
            <v>462.6509240131579</v>
          </cell>
          <cell r="N1201">
            <v>485.78347021381586</v>
          </cell>
          <cell r="O1201">
            <v>544.2952047213623</v>
          </cell>
          <cell r="P1201">
            <v>598.7247251934986</v>
          </cell>
          <cell r="Q1201">
            <v>3</v>
          </cell>
          <cell r="R1201">
            <v>680.3690059017028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79.73100000000001</v>
          </cell>
          <cell r="H1202">
            <v>1.15</v>
          </cell>
          <cell r="I1202">
            <v>91.69065</v>
          </cell>
          <cell r="J1202">
            <v>99.48435525000001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203.1951700367647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</v>
          </cell>
          <cell r="H1203">
            <v>1.15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19981.84253527477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278.748</v>
          </cell>
          <cell r="H1204">
            <v>1.15</v>
          </cell>
          <cell r="I1204">
            <v>320.56019999999995</v>
          </cell>
          <cell r="J1204">
            <v>347.80781699999994</v>
          </cell>
          <cell r="K1204">
            <v>434.7597712499999</v>
          </cell>
          <cell r="L1204">
            <v>1</v>
          </cell>
          <cell r="M1204">
            <v>457.64186447368417</v>
          </cell>
          <cell r="N1204">
            <v>480.5239576973684</v>
          </cell>
          <cell r="O1204">
            <v>538.402193498452</v>
          </cell>
          <cell r="P1204">
            <v>592.2424128482972</v>
          </cell>
          <cell r="Q1204">
            <v>3</v>
          </cell>
          <cell r="R1204">
            <v>673.0027418730649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1.15</v>
          </cell>
          <cell r="I1205">
            <v>2.3287500000000003</v>
          </cell>
          <cell r="J1205">
            <v>2.52669375</v>
          </cell>
          <cell r="K1205">
            <v>3.1583671875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</v>
          </cell>
          <cell r="Q1205">
            <v>3</v>
          </cell>
          <cell r="R1205">
            <v>4.889113293343653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8.289</v>
          </cell>
          <cell r="H1206">
            <v>1.15</v>
          </cell>
          <cell r="I1206">
            <v>9.53235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>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1.15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13.9995</v>
          </cell>
          <cell r="H1208">
            <v>1.15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</v>
          </cell>
          <cell r="P1208">
            <v>31.396509374999994</v>
          </cell>
          <cell r="Q1208">
            <v>3</v>
          </cell>
          <cell r="R1208">
            <v>35.67785156249999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42.336</v>
          </cell>
          <cell r="H1209">
            <v>1.15</v>
          </cell>
          <cell r="I1209">
            <v>48.68639999999999</v>
          </cell>
          <cell r="J1209">
            <v>52.82474399999999</v>
          </cell>
          <cell r="K1209">
            <v>66.03092999999998</v>
          </cell>
          <cell r="L1209">
            <v>1</v>
          </cell>
          <cell r="M1209">
            <v>69.50624210526314</v>
          </cell>
          <cell r="N1209">
            <v>72.9815542105263</v>
          </cell>
          <cell r="O1209">
            <v>81.7720495356037</v>
          </cell>
          <cell r="P1209">
            <v>89.94925448916408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</v>
          </cell>
          <cell r="G1210">
            <v>52.825500000000005</v>
          </cell>
          <cell r="H1210">
            <v>1.15</v>
          </cell>
          <cell r="I1210">
            <v>60.749325</v>
          </cell>
          <cell r="J1210">
            <v>65.913017625</v>
          </cell>
          <cell r="K1210">
            <v>82.39127203124998</v>
          </cell>
          <cell r="L1210">
            <v>1</v>
          </cell>
          <cell r="M1210">
            <v>86.72765476973683</v>
          </cell>
          <cell r="N1210">
            <v>91.06403750822368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</v>
          </cell>
          <cell r="H1211">
            <v>1.15</v>
          </cell>
          <cell r="I1211">
            <v>73.883475</v>
          </cell>
          <cell r="J1211">
            <v>80.163570375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124.0922142027864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</v>
          </cell>
          <cell r="H1212">
            <v>1.15</v>
          </cell>
          <cell r="I1212">
            <v>85.65142499999999</v>
          </cell>
          <cell r="J1212">
            <v>92.93179612499999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</v>
          </cell>
          <cell r="H1213">
            <v>1</v>
          </cell>
          <cell r="I1213">
            <v>86.23800000000001</v>
          </cell>
          <cell r="J1213">
            <v>86.23800000000001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1.15</v>
          </cell>
          <cell r="I1214">
            <v>120.520575</v>
          </cell>
          <cell r="J1214">
            <v>130.764823875</v>
          </cell>
          <cell r="K1214">
            <v>163.45602984374997</v>
          </cell>
          <cell r="L1214">
            <v>1</v>
          </cell>
          <cell r="M1214">
            <v>172.0589787828947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</v>
          </cell>
          <cell r="H1215">
            <v>1.15</v>
          </cell>
          <cell r="I1215">
            <v>130.61182499999998</v>
          </cell>
          <cell r="J1215">
            <v>141.713830125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219.3712540634675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1.15</v>
          </cell>
          <cell r="I1216">
            <v>196.93462499999998</v>
          </cell>
          <cell r="J1216">
            <v>213.67406812499996</v>
          </cell>
          <cell r="K1216">
            <v>267.0925851562499</v>
          </cell>
          <cell r="L1216">
            <v>1</v>
          </cell>
          <cell r="M1216">
            <v>281.15008963815785</v>
          </cell>
          <cell r="N1216">
            <v>295.2075941200658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141.23</v>
          </cell>
          <cell r="G1217">
            <v>190.66049999999998</v>
          </cell>
          <cell r="H1217">
            <v>1.15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388.7199981617646</v>
          </cell>
          <cell r="P1217">
            <v>427.59199797794105</v>
          </cell>
          <cell r="Q1217">
            <v>3</v>
          </cell>
          <cell r="R1217">
            <v>485.8999977022057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141.23</v>
          </cell>
          <cell r="G1218">
            <v>190.66049999999998</v>
          </cell>
          <cell r="H1218">
            <v>1.15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388.7199981617646</v>
          </cell>
          <cell r="P1218">
            <v>427.59199797794105</v>
          </cell>
          <cell r="Q1218">
            <v>3</v>
          </cell>
          <cell r="R1218">
            <v>485.8999977022057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1.15</v>
          </cell>
          <cell r="I1219">
            <v>238.99185</v>
          </cell>
          <cell r="J1219">
            <v>259.30615725</v>
          </cell>
          <cell r="K1219">
            <v>324.1326965625</v>
          </cell>
          <cell r="L1219">
            <v>1</v>
          </cell>
          <cell r="M1219">
            <v>341.1923121710526</v>
          </cell>
          <cell r="N1219">
            <v>358.25192777960524</v>
          </cell>
          <cell r="O1219">
            <v>401.40272020123837</v>
          </cell>
          <cell r="P1219">
            <v>441.5429922213622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284.1927631578948</v>
          </cell>
          <cell r="N1220">
            <v>298.4024013157895</v>
          </cell>
          <cell r="O1220">
            <v>334.3444272445821</v>
          </cell>
          <cell r="P1220">
            <v>367.77886996904033</v>
          </cell>
          <cell r="Q1220">
            <v>3</v>
          </cell>
          <cell r="R1220">
            <v>417.9305340557276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</v>
          </cell>
          <cell r="L1221">
            <v>1</v>
          </cell>
          <cell r="M1221">
            <v>304.3539473684211</v>
          </cell>
          <cell r="N1221">
            <v>319.57164473684213</v>
          </cell>
          <cell r="O1221">
            <v>358.0634674922601</v>
          </cell>
          <cell r="P1221">
            <v>393.86981424148615</v>
          </cell>
          <cell r="Q1221">
            <v>3</v>
          </cell>
          <cell r="R1221">
            <v>447.5793343653251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1.15</v>
          </cell>
          <cell r="I1222">
            <v>289.618875</v>
          </cell>
          <cell r="J1222">
            <v>314.236479375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486.4341785990712</v>
          </cell>
          <cell r="P1222">
            <v>535.0775964589783</v>
          </cell>
          <cell r="Q1222">
            <v>3</v>
          </cell>
          <cell r="R1222">
            <v>608.0427232488389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1.15</v>
          </cell>
          <cell r="I1223">
            <v>303.34297499999997</v>
          </cell>
          <cell r="J1223">
            <v>309.4098345</v>
          </cell>
          <cell r="K1223">
            <v>364.01157</v>
          </cell>
          <cell r="L1223">
            <v>2</v>
          </cell>
          <cell r="M1223">
            <v>404.4573</v>
          </cell>
          <cell r="N1223">
            <v>424.680165</v>
          </cell>
          <cell r="O1223">
            <v>475.8321176470588</v>
          </cell>
          <cell r="P1223">
            <v>523.4153294117647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</v>
          </cell>
          <cell r="H1224">
            <v>1.15</v>
          </cell>
          <cell r="I1224">
            <v>304.44525</v>
          </cell>
          <cell r="J1224">
            <v>330.32309625</v>
          </cell>
          <cell r="K1224">
            <v>412.9038703125</v>
          </cell>
          <cell r="L1224">
            <v>1</v>
          </cell>
          <cell r="M1224">
            <v>434.63565296052633</v>
          </cell>
          <cell r="N1224">
            <v>456.3674356085527</v>
          </cell>
          <cell r="O1224">
            <v>511.33606230650156</v>
          </cell>
          <cell r="P1224">
            <v>562.4696685371517</v>
          </cell>
          <cell r="Q1224">
            <v>3</v>
          </cell>
          <cell r="R1224">
            <v>639.170077883127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</v>
          </cell>
          <cell r="H1225">
            <v>1.15</v>
          </cell>
          <cell r="I1225">
            <v>313.4187</v>
          </cell>
          <cell r="J1225">
            <v>340.0592895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526.4075688854489</v>
          </cell>
          <cell r="P1225">
            <v>579.0483257739938</v>
          </cell>
          <cell r="Q1225">
            <v>3</v>
          </cell>
          <cell r="R1225">
            <v>658.009461106811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1.15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</v>
          </cell>
          <cell r="N1226">
            <v>547.9667332401315</v>
          </cell>
          <cell r="O1226">
            <v>613.9683285603714</v>
          </cell>
          <cell r="P1226">
            <v>675.3651614164087</v>
          </cell>
          <cell r="Q1226">
            <v>3</v>
          </cell>
          <cell r="R1226">
            <v>767.4604107004643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1.15</v>
          </cell>
          <cell r="I1227">
            <v>395.67015000000004</v>
          </cell>
          <cell r="J1227">
            <v>429.30211275000005</v>
          </cell>
          <cell r="K1227">
            <v>536.6276409375</v>
          </cell>
          <cell r="L1227">
            <v>1</v>
          </cell>
          <cell r="M1227">
            <v>564.8712009868422</v>
          </cell>
          <cell r="N1227">
            <v>593.1147610361843</v>
          </cell>
          <cell r="O1227">
            <v>664.5543541021673</v>
          </cell>
          <cell r="P1227">
            <v>731.009789512384</v>
          </cell>
          <cell r="Q1227">
            <v>3</v>
          </cell>
          <cell r="R1227">
            <v>830.692942627709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1.15</v>
          </cell>
          <cell r="I1228">
            <v>456.435</v>
          </cell>
          <cell r="J1228">
            <v>495.231975</v>
          </cell>
          <cell r="K1228">
            <v>619.03996875</v>
          </cell>
          <cell r="L1228">
            <v>3</v>
          </cell>
          <cell r="M1228">
            <v>728.2823161764705</v>
          </cell>
          <cell r="N1228">
            <v>764.6964319852941</v>
          </cell>
          <cell r="O1228">
            <v>856.8027249134948</v>
          </cell>
          <cell r="P1228">
            <v>942.4829974048444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</v>
          </cell>
          <cell r="G1229">
            <v>439.47900000000004</v>
          </cell>
          <cell r="H1229">
            <v>1.15</v>
          </cell>
          <cell r="I1229">
            <v>505.40085</v>
          </cell>
          <cell r="J1229">
            <v>548.35992225</v>
          </cell>
          <cell r="K1229">
            <v>685.4499028124999</v>
          </cell>
          <cell r="L1229">
            <v>1</v>
          </cell>
          <cell r="M1229">
            <v>721.526213486842</v>
          </cell>
          <cell r="N1229">
            <v>757.6025241611842</v>
          </cell>
          <cell r="O1229">
            <v>848.8543688080495</v>
          </cell>
          <cell r="P1229">
            <v>933.7398056888545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1.15</v>
          </cell>
          <cell r="I1230">
            <v>510.55515</v>
          </cell>
          <cell r="J1230">
            <v>553.95233775</v>
          </cell>
          <cell r="K1230">
            <v>692.4404221875</v>
          </cell>
          <cell r="L1230">
            <v>3</v>
          </cell>
          <cell r="M1230">
            <v>814.6357908088235</v>
          </cell>
          <cell r="N1230">
            <v>855.3675803492647</v>
          </cell>
          <cell r="O1230">
            <v>958.3950480103806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</v>
          </cell>
          <cell r="H1231">
            <v>1.15</v>
          </cell>
          <cell r="I1231">
            <v>548.203275</v>
          </cell>
          <cell r="J1231">
            <v>594.8005533749999</v>
          </cell>
          <cell r="K1231">
            <v>743.5006917187499</v>
          </cell>
          <cell r="L1231">
            <v>2</v>
          </cell>
          <cell r="M1231">
            <v>826.1118796874998</v>
          </cell>
          <cell r="N1231">
            <v>867.4174736718749</v>
          </cell>
          <cell r="O1231">
            <v>971.8963290441175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1.15</v>
          </cell>
          <cell r="I1232">
            <v>754.0026750000001</v>
          </cell>
          <cell r="J1232">
            <v>818.092902375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</v>
          </cell>
          <cell r="H1233">
            <v>1</v>
          </cell>
          <cell r="I1233">
            <v>673.677</v>
          </cell>
          <cell r="J1233">
            <v>673.677</v>
          </cell>
          <cell r="K1233">
            <v>842.0962499999999</v>
          </cell>
          <cell r="L1233">
            <v>1</v>
          </cell>
          <cell r="M1233">
            <v>886.4171052631579</v>
          </cell>
          <cell r="N1233">
            <v>930.7379605263158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613.93</v>
          </cell>
          <cell r="G1234">
            <v>828.8054999999999</v>
          </cell>
          <cell r="H1234">
            <v>1</v>
          </cell>
          <cell r="I1234">
            <v>828.8054999999999</v>
          </cell>
          <cell r="J1234">
            <v>899.2539674999999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623.81</v>
          </cell>
          <cell r="G1235">
            <v>842.1435</v>
          </cell>
          <cell r="H1235">
            <v>1</v>
          </cell>
          <cell r="I1235">
            <v>842.1435</v>
          </cell>
          <cell r="J1235">
            <v>842.1435</v>
          </cell>
          <cell r="K1235">
            <v>1052.679375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1148.158935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</v>
          </cell>
          <cell r="H1237">
            <v>1.15</v>
          </cell>
          <cell r="I1237">
            <v>1220.870475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</v>
          </cell>
          <cell r="P1237">
            <v>2380.896914889706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1.15</v>
          </cell>
          <cell r="I1238">
            <v>1259.8227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1.15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2516.019982720588</v>
          </cell>
          <cell r="Q1239">
            <v>3</v>
          </cell>
          <cell r="R1239">
            <v>2859.11361672794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</v>
          </cell>
          <cell r="H1240">
            <v>1.15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</v>
          </cell>
          <cell r="N1240">
            <v>1761.029185263158</v>
          </cell>
          <cell r="O1240">
            <v>1973.141944272446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1.15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</v>
          </cell>
          <cell r="O1241">
            <v>2370.294275154799</v>
          </cell>
          <cell r="P1241">
            <v>2607.323702670279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1.15</v>
          </cell>
          <cell r="I1242">
            <v>1413.722025</v>
          </cell>
          <cell r="J1242">
            <v>1533.888397125</v>
          </cell>
          <cell r="K1242">
            <v>1917.36049640625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1.15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2156.772486611842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1.15</v>
          </cell>
          <cell r="I1244">
            <v>1455.3135</v>
          </cell>
          <cell r="J1244">
            <v>1484.41977</v>
          </cell>
          <cell r="K1244">
            <v>1746.3762</v>
          </cell>
          <cell r="L1244">
            <v>2</v>
          </cell>
          <cell r="M1244">
            <v>1940.418</v>
          </cell>
          <cell r="N1244">
            <v>2037.4388999999999</v>
          </cell>
          <cell r="O1244">
            <v>2282.844705882353</v>
          </cell>
          <cell r="P1244">
            <v>2511.1291764705884</v>
          </cell>
          <cell r="Q1244">
            <v>1</v>
          </cell>
          <cell r="R1244">
            <v>2536.494117647059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</v>
          </cell>
          <cell r="H1245">
            <v>1.15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3064.670916582818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>Bomba de leche (Pump, 2 Hp, 208-230/460V, 3-phase)</v>
          </cell>
          <cell r="E1246">
            <v>1</v>
          </cell>
          <cell r="F1246">
            <v>1162.9</v>
          </cell>
          <cell r="G1246">
            <v>1569.9150000000002</v>
          </cell>
          <cell r="H1246">
            <v>1.15</v>
          </cell>
          <cell r="I1246">
            <v>1805.40225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1259.12</v>
          </cell>
          <cell r="G1247">
            <v>1699.812</v>
          </cell>
          <cell r="H1247">
            <v>1.15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2759.694776470588</v>
          </cell>
          <cell r="N1247">
            <v>2897.679515294117</v>
          </cell>
          <cell r="O1247">
            <v>3246.699737024221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</v>
          </cell>
          <cell r="L1248">
            <v>1</v>
          </cell>
          <cell r="M1248">
            <v>2478.671052631579</v>
          </cell>
          <cell r="N1248">
            <v>2602.604605263158</v>
          </cell>
          <cell r="O1248">
            <v>2916.08359133127</v>
          </cell>
          <cell r="P1248">
            <v>3207.691950464397</v>
          </cell>
          <cell r="Q1248">
            <v>3</v>
          </cell>
          <cell r="R1248">
            <v>3645.104489164087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</v>
          </cell>
          <cell r="H1249">
            <v>1.15</v>
          </cell>
          <cell r="I1249">
            <v>2198.12265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3896.998488970588</v>
          </cell>
          <cell r="P1249">
            <v>4286.698337867647</v>
          </cell>
          <cell r="Q1249">
            <v>3</v>
          </cell>
          <cell r="R1249">
            <v>4871.248111213235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1.15</v>
          </cell>
          <cell r="I1250">
            <v>2287.469025</v>
          </cell>
          <cell r="J1250">
            <v>2481.903892125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</v>
          </cell>
          <cell r="Q1250">
            <v>3</v>
          </cell>
          <cell r="R1250">
            <v>5069.248145680146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</v>
          </cell>
          <cell r="H1251">
            <v>1.15</v>
          </cell>
          <cell r="I1251">
            <v>2293.07355</v>
          </cell>
          <cell r="J1251">
            <v>2487.98480175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</v>
          </cell>
          <cell r="Q1251">
            <v>3</v>
          </cell>
          <cell r="R1251">
            <v>5081.66830422794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1.15</v>
          </cell>
          <cell r="I1252">
            <v>2335.2084</v>
          </cell>
          <cell r="J1252">
            <v>2533.701114</v>
          </cell>
          <cell r="K1252">
            <v>3167.1263925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4140.0345</v>
          </cell>
          <cell r="P1252">
            <v>4554.03795</v>
          </cell>
          <cell r="Q1252">
            <v>3</v>
          </cell>
          <cell r="R1252">
            <v>5175.043124999999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1.15</v>
          </cell>
          <cell r="I1253">
            <v>2339.8659000000002</v>
          </cell>
          <cell r="J1253">
            <v>2538.7545015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</v>
          </cell>
          <cell r="Q1253">
            <v>3</v>
          </cell>
          <cell r="R1253">
            <v>5185.364586397059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1.15</v>
          </cell>
          <cell r="I1254">
            <v>2448.7737749999997</v>
          </cell>
          <cell r="J1254">
            <v>2656.9195458749996</v>
          </cell>
          <cell r="K1254">
            <v>3321.149432343749</v>
          </cell>
          <cell r="L1254">
            <v>2</v>
          </cell>
          <cell r="M1254">
            <v>3690.166035937499</v>
          </cell>
          <cell r="N1254">
            <v>3874.674337734374</v>
          </cell>
          <cell r="O1254">
            <v>4341.371806985293</v>
          </cell>
          <cell r="P1254">
            <v>4775.508987683823</v>
          </cell>
          <cell r="Q1254">
            <v>3</v>
          </cell>
          <cell r="R1254">
            <v>5426.714758731616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</v>
          </cell>
          <cell r="H1255">
            <v>1.15</v>
          </cell>
          <cell r="I1255">
            <v>2526.833475</v>
          </cell>
          <cell r="J1255">
            <v>2741.614320375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4668.383517666409</v>
          </cell>
          <cell r="Q1255">
            <v>3</v>
          </cell>
          <cell r="R1255">
            <v>5304.981270075464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1.15</v>
          </cell>
          <cell r="I1256">
            <v>2569.030425</v>
          </cell>
          <cell r="J1256">
            <v>2620.4110335</v>
          </cell>
          <cell r="K1256">
            <v>3082.83651</v>
          </cell>
          <cell r="L1256">
            <v>1</v>
          </cell>
          <cell r="M1256">
            <v>3245.091063157895</v>
          </cell>
          <cell r="N1256">
            <v>3407.34561631579</v>
          </cell>
          <cell r="O1256">
            <v>3817.7541919504647</v>
          </cell>
          <cell r="P1256">
            <v>4199.529611145512</v>
          </cell>
          <cell r="Q1256">
            <v>1</v>
          </cell>
          <cell r="R1256">
            <v>4241.949102167183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</v>
          </cell>
          <cell r="H1257">
            <v>1.15</v>
          </cell>
          <cell r="I1257">
            <v>2686.2131249999998</v>
          </cell>
          <cell r="J1257">
            <v>2914.541240625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</v>
          </cell>
          <cell r="O1257">
            <v>4762.322288602941</v>
          </cell>
          <cell r="P1257">
            <v>5238.554517463235</v>
          </cell>
          <cell r="Q1257">
            <v>3</v>
          </cell>
          <cell r="R1257">
            <v>5952.902860753676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1.15</v>
          </cell>
          <cell r="I1258">
            <v>2796.0525000000002</v>
          </cell>
          <cell r="J1258">
            <v>3033.7169625</v>
          </cell>
          <cell r="K1258">
            <v>3792.146203125</v>
          </cell>
          <cell r="L1258">
            <v>1</v>
          </cell>
          <cell r="M1258">
            <v>3991.732845394737</v>
          </cell>
          <cell r="N1258">
            <v>4191.319487664474</v>
          </cell>
          <cell r="O1258">
            <v>4696.156288699691</v>
          </cell>
          <cell r="P1258">
            <v>5165.77191756966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1.15</v>
          </cell>
          <cell r="I1259">
            <v>3723.314175</v>
          </cell>
          <cell r="J1259">
            <v>4039.7958798749996</v>
          </cell>
          <cell r="K1259">
            <v>5049.744849843749</v>
          </cell>
          <cell r="L1259">
            <v>3</v>
          </cell>
          <cell r="M1259">
            <v>5940.876293933822</v>
          </cell>
          <cell r="N1259">
            <v>6237.920108630514</v>
          </cell>
          <cell r="O1259">
            <v>6989.266228157438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1.15</v>
          </cell>
          <cell r="I1260">
            <v>4324.224825</v>
          </cell>
          <cell r="J1260">
            <v>4691.783935125</v>
          </cell>
          <cell r="K1260">
            <v>5864.7299189062505</v>
          </cell>
          <cell r="L1260">
            <v>3</v>
          </cell>
          <cell r="M1260">
            <v>6899.682257536765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</v>
          </cell>
          <cell r="L1261">
            <v>1</v>
          </cell>
          <cell r="M1261">
            <v>5111.366447368421</v>
          </cell>
          <cell r="N1261">
            <v>5366.934769736842</v>
          </cell>
          <cell r="O1261">
            <v>6013.372291021672</v>
          </cell>
          <cell r="P1261">
            <v>6614.70952012384</v>
          </cell>
          <cell r="Q1261">
            <v>3</v>
          </cell>
          <cell r="R1261">
            <v>7516.71536377709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1.15</v>
          </cell>
          <cell r="I1262">
            <v>4487.578875</v>
          </cell>
          <cell r="J1262">
            <v>4869.023079375</v>
          </cell>
          <cell r="K1262">
            <v>6086.278849218749</v>
          </cell>
          <cell r="L1262">
            <v>1</v>
          </cell>
          <cell r="M1262">
            <v>6406.609314967105</v>
          </cell>
          <cell r="N1262">
            <v>6726.939780715461</v>
          </cell>
          <cell r="O1262">
            <v>7537.187429373065</v>
          </cell>
          <cell r="P1262">
            <v>8290.906172310373</v>
          </cell>
          <cell r="Q1262">
            <v>3</v>
          </cell>
          <cell r="R1262">
            <v>9421.484286716332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</v>
          </cell>
          <cell r="H1263">
            <v>1.15</v>
          </cell>
          <cell r="I1263">
            <v>5344.0776</v>
          </cell>
          <cell r="J1263">
            <v>5450.959151999999</v>
          </cell>
          <cell r="K1263">
            <v>6412.89312</v>
          </cell>
          <cell r="L1263">
            <v>3</v>
          </cell>
          <cell r="M1263">
            <v>7544.5801411764705</v>
          </cell>
          <cell r="N1263">
            <v>7921.809148235295</v>
          </cell>
          <cell r="O1263">
            <v>8875.9766366782</v>
          </cell>
          <cell r="P1263">
            <v>9763.574300346021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4738.3515</v>
          </cell>
          <cell r="H1264">
            <v>1.15</v>
          </cell>
          <cell r="I1264">
            <v>5449.104224999999</v>
          </cell>
          <cell r="J1264">
            <v>5558.0863094999995</v>
          </cell>
          <cell r="K1264">
            <v>6538.925069999999</v>
          </cell>
          <cell r="L1264">
            <v>1</v>
          </cell>
          <cell r="M1264">
            <v>6883.079021052631</v>
          </cell>
          <cell r="N1264">
            <v>7227.232972105263</v>
          </cell>
          <cell r="O1264">
            <v>8097.7400247678015</v>
          </cell>
          <cell r="P1264">
            <v>8907.514027244582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</v>
          </cell>
          <cell r="H1265">
            <v>1.15</v>
          </cell>
          <cell r="I1265">
            <v>6069.80925</v>
          </cell>
          <cell r="J1265">
            <v>6191.205435000001</v>
          </cell>
          <cell r="K1265">
            <v>7283.771100000001</v>
          </cell>
          <cell r="L1265">
            <v>3</v>
          </cell>
          <cell r="M1265">
            <v>8569.142470588236</v>
          </cell>
          <cell r="N1265">
            <v>8997.599594117648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</v>
          </cell>
          <cell r="H1266">
            <v>1.15</v>
          </cell>
          <cell r="I1266">
            <v>6789.1446</v>
          </cell>
          <cell r="J1266">
            <v>6924.927492</v>
          </cell>
          <cell r="K1266">
            <v>8146.97352</v>
          </cell>
          <cell r="L1266">
            <v>3</v>
          </cell>
          <cell r="M1266">
            <v>9584.674729411765</v>
          </cell>
          <cell r="N1266">
            <v>10063.908465882354</v>
          </cell>
          <cell r="O1266">
            <v>11276.087916955017</v>
          </cell>
          <cell r="P1266">
            <v>12403.69670865052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1.15</v>
          </cell>
          <cell r="I1267">
            <v>7720.784325</v>
          </cell>
          <cell r="J1267">
            <v>8377.050992625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1.15</v>
          </cell>
          <cell r="I1268">
            <v>8284.900725</v>
          </cell>
          <cell r="J1268">
            <v>8989.117286625</v>
          </cell>
          <cell r="K1268">
            <v>11236.39660828125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17393.80279919698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7771.315500000001</v>
          </cell>
          <cell r="H1269">
            <v>1.15</v>
          </cell>
          <cell r="I1269">
            <v>8937.012825</v>
          </cell>
          <cell r="J1269">
            <v>9696.658915125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</v>
          </cell>
          <cell r="H1270">
            <v>1.15</v>
          </cell>
          <cell r="I1270">
            <v>10077.168825</v>
          </cell>
          <cell r="J1270">
            <v>10933.728175125001</v>
          </cell>
          <cell r="K1270">
            <v>13667.16021890625</v>
          </cell>
          <cell r="L1270">
            <v>1</v>
          </cell>
          <cell r="M1270">
            <v>14386.48444095395</v>
          </cell>
          <cell r="N1270">
            <v>15105.808663001648</v>
          </cell>
          <cell r="O1270">
            <v>16925.275812887</v>
          </cell>
          <cell r="P1270">
            <v>18617.803394175702</v>
          </cell>
          <cell r="Q1270">
            <v>3</v>
          </cell>
          <cell r="R1270">
            <v>21156.59476610875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1.15</v>
          </cell>
          <cell r="I1271">
            <v>12127.866075</v>
          </cell>
          <cell r="J1271">
            <v>13158.734691374999</v>
          </cell>
          <cell r="K1271">
            <v>16448.41836421875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208.926</v>
          </cell>
          <cell r="H1272">
            <v>1</v>
          </cell>
          <cell r="I1272">
            <v>208.926</v>
          </cell>
          <cell r="J1272">
            <v>208.926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1277.86</v>
          </cell>
          <cell r="G1273">
            <v>1725.1109999999999</v>
          </cell>
          <cell r="H1273">
            <v>1.15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</v>
          </cell>
          <cell r="P1273">
            <v>3868.885580514706</v>
          </cell>
          <cell r="Q1273">
            <v>3</v>
          </cell>
          <cell r="R1273">
            <v>4396.460886948528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7878.168000000001</v>
          </cell>
          <cell r="H1274">
            <v>1.15</v>
          </cell>
          <cell r="I1274">
            <v>9059.8932</v>
          </cell>
          <cell r="J1274">
            <v>9829.984122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</v>
          </cell>
          <cell r="O1274">
            <v>15216.6936873065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762.2235000000001</v>
          </cell>
          <cell r="H1275">
            <v>1</v>
          </cell>
          <cell r="I1275">
            <v>762.2235000000001</v>
          </cell>
          <cell r="J1275">
            <v>762.2235000000001</v>
          </cell>
          <cell r="K1275">
            <v>952.7793750000001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</v>
          </cell>
          <cell r="H1276">
            <v>1.15</v>
          </cell>
          <cell r="I1276">
            <v>153.41805</v>
          </cell>
          <cell r="J1276">
            <v>166.45858425</v>
          </cell>
          <cell r="K1276">
            <v>208.0732303125</v>
          </cell>
          <cell r="L1276">
            <v>3</v>
          </cell>
          <cell r="M1276">
            <v>244.7920356617647</v>
          </cell>
          <cell r="N1276">
            <v>257.03163744485295</v>
          </cell>
          <cell r="O1276">
            <v>287.9906301903114</v>
          </cell>
          <cell r="P1276">
            <v>316.78969320934254</v>
          </cell>
          <cell r="Q1276">
            <v>3</v>
          </cell>
          <cell r="R1276">
            <v>359.9882877378892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1.15</v>
          </cell>
          <cell r="I1277">
            <v>356.29875000000004</v>
          </cell>
          <cell r="J1277">
            <v>386.58414375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534.0965143914474</v>
          </cell>
          <cell r="O1277">
            <v>598.4274671052631</v>
          </cell>
          <cell r="P1277">
            <v>658.2702138157895</v>
          </cell>
          <cell r="Q1277">
            <v>3</v>
          </cell>
          <cell r="R1277">
            <v>748.0343338815788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1.15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196.8161447368421</v>
          </cell>
          <cell r="P1278">
            <v>216.4977592105263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1.15</v>
          </cell>
          <cell r="I1279">
            <v>39.588750000000005</v>
          </cell>
          <cell r="J1279">
            <v>42.95379375</v>
          </cell>
          <cell r="K1279">
            <v>53.6922421875</v>
          </cell>
          <cell r="L1279">
            <v>1</v>
          </cell>
          <cell r="M1279">
            <v>56.51814967105263</v>
          </cell>
          <cell r="N1279">
            <v>59.34405715460527</v>
          </cell>
          <cell r="O1279">
            <v>66.49194078947369</v>
          </cell>
          <cell r="P1279">
            <v>73.14113486842106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1.15</v>
          </cell>
          <cell r="I1280">
            <v>49.385025</v>
          </cell>
          <cell r="J1280">
            <v>53.582752125</v>
          </cell>
          <cell r="K1280">
            <v>66.97844015624999</v>
          </cell>
          <cell r="L1280">
            <v>1</v>
          </cell>
          <cell r="M1280">
            <v>70.50362121710525</v>
          </cell>
          <cell r="N1280">
            <v>74.02880227796051</v>
          </cell>
          <cell r="O1280">
            <v>82.94543672600618</v>
          </cell>
          <cell r="P1280">
            <v>91.2399803986068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60.58800000000001</v>
          </cell>
          <cell r="H1281">
            <v>1.15</v>
          </cell>
          <cell r="I1281">
            <v>69.67620000000001</v>
          </cell>
          <cell r="J1281">
            <v>75.59867700000001</v>
          </cell>
          <cell r="K1281">
            <v>94.49834625000001</v>
          </cell>
          <cell r="L1281">
            <v>2</v>
          </cell>
          <cell r="M1281">
            <v>104.9981625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</v>
          </cell>
          <cell r="H1282">
            <v>1.15</v>
          </cell>
          <cell r="I1282">
            <v>87.09525000000001</v>
          </cell>
          <cell r="J1282">
            <v>94.49834625000001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130.5569257401316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65.24</v>
          </cell>
          <cell r="G1283">
            <v>88.074</v>
          </cell>
          <cell r="H1283">
            <v>1.15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187.1265740712074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</v>
          </cell>
          <cell r="H1284">
            <v>1.15</v>
          </cell>
          <cell r="I1284">
            <v>5.4027</v>
          </cell>
          <cell r="J1284">
            <v>5.8619295000000005</v>
          </cell>
          <cell r="K1284">
            <v>7.327411875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</v>
          </cell>
          <cell r="P1284">
            <v>9.981613699690405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1.15</v>
          </cell>
          <cell r="I1285">
            <v>164.6892</v>
          </cell>
          <cell r="J1285">
            <v>178.687782</v>
          </cell>
          <cell r="K1285">
            <v>223.3597275</v>
          </cell>
          <cell r="L1285">
            <v>1</v>
          </cell>
          <cell r="M1285">
            <v>235.11550263157895</v>
          </cell>
          <cell r="N1285">
            <v>246.8712777631579</v>
          </cell>
          <cell r="O1285">
            <v>276.6064736842105</v>
          </cell>
          <cell r="P1285">
            <v>304.2671210526316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1.15</v>
          </cell>
          <cell r="I1286">
            <v>39.588750000000005</v>
          </cell>
          <cell r="J1286">
            <v>42.95379375</v>
          </cell>
          <cell r="K1286">
            <v>53.6922421875</v>
          </cell>
          <cell r="L1286">
            <v>1</v>
          </cell>
          <cell r="M1286">
            <v>56.51814967105263</v>
          </cell>
          <cell r="N1286">
            <v>59.34405715460527</v>
          </cell>
          <cell r="O1286">
            <v>66.49194078947369</v>
          </cell>
          <cell r="P1286">
            <v>73.14113486842106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</v>
          </cell>
          <cell r="H1287">
            <v>1.15</v>
          </cell>
          <cell r="I1287">
            <v>7.1259749999999995</v>
          </cell>
          <cell r="J1287">
            <v>7.731682874999999</v>
          </cell>
          <cell r="K1287">
            <v>9.664603593749998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1.15</v>
          </cell>
          <cell r="I1288">
            <v>150.43725</v>
          </cell>
          <cell r="J1288">
            <v>163.22441625</v>
          </cell>
          <cell r="K1288">
            <v>204.0305203125</v>
          </cell>
          <cell r="L1288">
            <v>1</v>
          </cell>
          <cell r="M1288">
            <v>214.76896875</v>
          </cell>
          <cell r="N1288">
            <v>225.5074171875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315.83671875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1.15</v>
          </cell>
          <cell r="I1289">
            <v>134.60175</v>
          </cell>
          <cell r="J1289">
            <v>146.04289875</v>
          </cell>
          <cell r="K1289">
            <v>182.5536234375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>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1.15</v>
          </cell>
          <cell r="I1290">
            <v>107.6814</v>
          </cell>
          <cell r="J1290">
            <v>116.834319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198.9438868421053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9.639</v>
          </cell>
          <cell r="H1291">
            <v>1.15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16.61633600328947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 /><Relationship Id="rId2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4" Type="http://schemas.openxmlformats.org/officeDocument/2006/relationships/drawing" Target="../drawings/drawing3.xml" /><Relationship Id="rId13" Type="http://schemas.openxmlformats.org/officeDocument/2006/relationships/ctrlProp" Target="../ctrProps/ctrProp13.xml" /><Relationship Id="rId7" Type="http://schemas.openxmlformats.org/officeDocument/2006/relationships/ctrlProp" Target="../ctrProps/ctrProp7.xml" /><Relationship Id="rId16" Type="http://schemas.openxmlformats.org/officeDocument/2006/relationships/printerSettings" Target="../printerSettings/printerSettings3.bin" /><Relationship Id="rId12" Type="http://schemas.openxmlformats.org/officeDocument/2006/relationships/ctrlProp" Target="../ctrProps/ctrProp12.xml" /><Relationship Id="rId9" Type="http://schemas.openxmlformats.org/officeDocument/2006/relationships/ctrlProp" Target="../ctrProps/ctrProp9.xml" /><Relationship Id="rId2" Type="http://schemas.openxmlformats.org/officeDocument/2006/relationships/ctrlProp" Target="../ctrProps/ctrProp2.xml" /><Relationship Id="rId15" Type="http://schemas.openxmlformats.org/officeDocument/2006/relationships/vmlDrawing" Target="../drawings/vmlDrawing1.vml" /><Relationship Id="rId8" Type="http://schemas.openxmlformats.org/officeDocument/2006/relationships/ctrlProp" Target="../ctrProps/ctrProp8.xml" /><Relationship Id="rId3" Type="http://schemas.openxmlformats.org/officeDocument/2006/relationships/ctrlProp" Target="../ctrProps/ctrProp3.xml" /><Relationship Id="rId1" Type="http://schemas.openxmlformats.org/officeDocument/2006/relationships/ctrlProp" Target="../ctrProps/ctrProp1.xml" /><Relationship Id="rId4" Type="http://schemas.openxmlformats.org/officeDocument/2006/relationships/ctrlProp" Target="../ctrProps/ctrProp4.xml" /><Relationship Id="rId11" Type="http://schemas.openxmlformats.org/officeDocument/2006/relationships/ctrlProp" Target="../ctrProps/ctrProp11.xml" /><Relationship Id="rId5" Type="http://schemas.openxmlformats.org/officeDocument/2006/relationships/ctrlProp" Target="../ctrProps/ctrProp5.xml" /><Relationship Id="rId6" Type="http://schemas.openxmlformats.org/officeDocument/2006/relationships/ctrlProp" Target="../ctrProps/ctrProp6.xml" /><Relationship Id="rId10" Type="http://schemas.openxmlformats.org/officeDocument/2006/relationships/ctrlProp" Target="../ctrProps/ctrProp10.xml" /></Relationships>
</file>

<file path=xl/worksheets/_rels/sheet4.xml.rels><?xml version="1.0" encoding="UTF-8" standalone="yes"?><Relationships xmlns="http://schemas.openxmlformats.org/package/2006/relationships"><Relationship Id="rId8" Type="http://schemas.openxmlformats.org/officeDocument/2006/relationships/drawing" Target="../drawings/drawing4.xml" /><Relationship Id="rId10" Type="http://schemas.openxmlformats.org/officeDocument/2006/relationships/printerSettings" Target="../printerSettings/printerSettings4.bin" /><Relationship Id="rId9" Type="http://schemas.openxmlformats.org/officeDocument/2006/relationships/vmlDrawing" Target="../drawings/vmlDrawing2.vml" /><Relationship Id="rId5" Type="http://schemas.openxmlformats.org/officeDocument/2006/relationships/ctrlProp" Target="../ctrProps/ctrProp18.xml" /><Relationship Id="rId7" Type="http://schemas.openxmlformats.org/officeDocument/2006/relationships/ctrlProp" Target="../ctrProps/ctrProp20.xml" /><Relationship Id="rId3" Type="http://schemas.openxmlformats.org/officeDocument/2006/relationships/ctrlProp" Target="../ctrProps/ctrProp16.xml" /><Relationship Id="rId1" Type="http://schemas.openxmlformats.org/officeDocument/2006/relationships/ctrlProp" Target="../ctrProps/ctrProp14.xml" /><Relationship Id="rId2" Type="http://schemas.openxmlformats.org/officeDocument/2006/relationships/ctrlProp" Target="../ctrProps/ctrProp15.xml" /><Relationship Id="rId4" Type="http://schemas.openxmlformats.org/officeDocument/2006/relationships/ctrlProp" Target="../ctrProps/ctrProp17.xml" /><Relationship Id="rId6" Type="http://schemas.openxmlformats.org/officeDocument/2006/relationships/ctrlProp" Target="../ctrProps/ctrProp19.xml" /></Relationships>
</file>

<file path=xl/worksheets/_rels/sheet5.xml.rels><?xml version="1.0" encoding="UTF-8" standalone="yes"?><Relationships xmlns="http://schemas.openxmlformats.org/package/2006/relationships"><Relationship Id="rId14" Type="http://schemas.openxmlformats.org/officeDocument/2006/relationships/ctrlProp" Target="../ctrProps/ctrProp34.xml" /><Relationship Id="rId13" Type="http://schemas.openxmlformats.org/officeDocument/2006/relationships/ctrlProp" Target="../ctrProps/ctrProp33.xml" /><Relationship Id="rId18" Type="http://schemas.openxmlformats.org/officeDocument/2006/relationships/ctrlProp" Target="../ctrProps/ctrProp38.xml" /><Relationship Id="rId7" Type="http://schemas.openxmlformats.org/officeDocument/2006/relationships/ctrlProp" Target="../ctrProps/ctrProp27.xml" /><Relationship Id="rId21" Type="http://schemas.openxmlformats.org/officeDocument/2006/relationships/vmlDrawing" Target="../drawings/vmlDrawing3.vml" /><Relationship Id="rId16" Type="http://schemas.openxmlformats.org/officeDocument/2006/relationships/ctrlProp" Target="../ctrProps/ctrProp36.xml" /><Relationship Id="rId22" Type="http://schemas.openxmlformats.org/officeDocument/2006/relationships/printerSettings" Target="../printerSettings/printerSettings5.bin" /><Relationship Id="rId17" Type="http://schemas.openxmlformats.org/officeDocument/2006/relationships/ctrlProp" Target="../ctrProps/ctrProp37.xml" /><Relationship Id="rId12" Type="http://schemas.openxmlformats.org/officeDocument/2006/relationships/ctrlProp" Target="../ctrProps/ctrProp32.xml" /><Relationship Id="rId9" Type="http://schemas.openxmlformats.org/officeDocument/2006/relationships/ctrlProp" Target="../ctrProps/ctrProp29.xml" /><Relationship Id="rId2" Type="http://schemas.openxmlformats.org/officeDocument/2006/relationships/ctrlProp" Target="../ctrProps/ctrProp22.xml" /><Relationship Id="rId15" Type="http://schemas.openxmlformats.org/officeDocument/2006/relationships/ctrlProp" Target="../ctrProps/ctrProp35.xml" /><Relationship Id="rId8" Type="http://schemas.openxmlformats.org/officeDocument/2006/relationships/ctrlProp" Target="../ctrProps/ctrProp28.xml" /><Relationship Id="rId3" Type="http://schemas.openxmlformats.org/officeDocument/2006/relationships/ctrlProp" Target="../ctrProps/ctrProp23.xml" /><Relationship Id="rId20" Type="http://schemas.openxmlformats.org/officeDocument/2006/relationships/drawing" Target="../drawings/drawing5.xml" /><Relationship Id="rId1" Type="http://schemas.openxmlformats.org/officeDocument/2006/relationships/ctrlProp" Target="../ctrProps/ctrProp21.xml" /><Relationship Id="rId4" Type="http://schemas.openxmlformats.org/officeDocument/2006/relationships/ctrlProp" Target="../ctrProps/ctrProp24.xml" /><Relationship Id="rId11" Type="http://schemas.openxmlformats.org/officeDocument/2006/relationships/ctrlProp" Target="../ctrProps/ctrProp31.xml" /><Relationship Id="rId19" Type="http://schemas.openxmlformats.org/officeDocument/2006/relationships/ctrlProp" Target="../ctrProps/ctrProp39.xml" /><Relationship Id="rId5" Type="http://schemas.openxmlformats.org/officeDocument/2006/relationships/ctrlProp" Target="../ctrProps/ctrProp25.xml" /><Relationship Id="rId6" Type="http://schemas.openxmlformats.org/officeDocument/2006/relationships/ctrlProp" Target="../ctrProps/ctrProp26.xml" /><Relationship Id="rId10" Type="http://schemas.openxmlformats.org/officeDocument/2006/relationships/ctrlProp" Target="../ctrProps/ctrProp30.xml" /></Relationships>
</file>

<file path=xl/worksheets/_rels/sheet6.xml.rels><?xml version="1.0" encoding="UTF-8" standalone="yes"?><Relationships xmlns="http://schemas.openxmlformats.org/package/2006/relationships"><Relationship Id="rId5" Type="http://schemas.openxmlformats.org/officeDocument/2006/relationships/ctrlProp" Target="../ctrProps/ctrProp44.xml" /><Relationship Id="rId7" Type="http://schemas.openxmlformats.org/officeDocument/2006/relationships/vmlDrawing" Target="../drawings/vmlDrawing4.vml" /><Relationship Id="rId3" Type="http://schemas.openxmlformats.org/officeDocument/2006/relationships/ctrlProp" Target="../ctrProps/ctrProp42.xml" /><Relationship Id="rId1" Type="http://schemas.openxmlformats.org/officeDocument/2006/relationships/ctrlProp" Target="../ctrProps/ctrProp40.xml" /><Relationship Id="rId2" Type="http://schemas.openxmlformats.org/officeDocument/2006/relationships/ctrlProp" Target="../ctrProps/ctrProp41.xml" /><Relationship Id="rId4" Type="http://schemas.openxmlformats.org/officeDocument/2006/relationships/ctrlProp" Target="../ctrProps/ctrProp43.xml" /><Relationship Id="rId6" Type="http://schemas.openxmlformats.org/officeDocument/2006/relationships/drawing" Target="../drawings/drawing6.xml" /></Relationships>
</file>

<file path=xl/worksheets/_rels/sheet7.xml.rels><?xml version="1.0" encoding="UTF-8" standalone="yes"?><Relationships xmlns="http://schemas.openxmlformats.org/package/2006/relationships"><Relationship Id="rId2" Type="http://schemas.openxmlformats.org/officeDocument/2006/relationships/ctrlProp" Target="../ctrProps/ctrProp46.xml" /><Relationship Id="rId4" Type="http://schemas.openxmlformats.org/officeDocument/2006/relationships/drawing" Target="../drawings/drawing7.xml" /><Relationship Id="rId5" Type="http://schemas.openxmlformats.org/officeDocument/2006/relationships/vmlDrawing" Target="../drawings/vmlDrawing5.vml" /><Relationship Id="rId3" Type="http://schemas.openxmlformats.org/officeDocument/2006/relationships/ctrlProp" Target="../ctrProps/ctrProp47.xml" /><Relationship Id="rId1" Type="http://schemas.openxmlformats.org/officeDocument/2006/relationships/ctrlProp" Target="../ctrProps/ctrProp45.xml" /></Relationships>
</file>

<file path=xl/worksheets/_rels/sheet8.xml.rels><?xml version="1.0" encoding="UTF-8" standalone="yes"?><Relationships xmlns="http://schemas.openxmlformats.org/package/2006/relationships"><Relationship Id="rId10" Type="http://schemas.openxmlformats.org/officeDocument/2006/relationships/ctrlProp" Target="../ctrProps/ctrProp57.xml" /><Relationship Id="rId4" Type="http://schemas.openxmlformats.org/officeDocument/2006/relationships/ctrlProp" Target="../ctrProps/ctrProp51.xml" /><Relationship Id="rId27" Type="http://schemas.openxmlformats.org/officeDocument/2006/relationships/vmlDrawing" Target="../drawings/vmlDrawing6.vml" /><Relationship Id="rId21" Type="http://schemas.openxmlformats.org/officeDocument/2006/relationships/ctrlProp" Target="../ctrProps/ctrProp68.xml" /><Relationship Id="rId2" Type="http://schemas.openxmlformats.org/officeDocument/2006/relationships/ctrlProp" Target="../ctrProps/ctrProp49.xml" /><Relationship Id="rId23" Type="http://schemas.openxmlformats.org/officeDocument/2006/relationships/ctrlProp" Target="../ctrProps/ctrProp70.xml" /><Relationship Id="rId17" Type="http://schemas.openxmlformats.org/officeDocument/2006/relationships/ctrlProp" Target="../ctrProps/ctrProp64.xml" /><Relationship Id="rId14" Type="http://schemas.openxmlformats.org/officeDocument/2006/relationships/ctrlProp" Target="../ctrProps/ctrProp61.xml" /><Relationship Id="rId9" Type="http://schemas.openxmlformats.org/officeDocument/2006/relationships/ctrlProp" Target="../ctrProps/ctrProp56.xml" /><Relationship Id="rId25" Type="http://schemas.openxmlformats.org/officeDocument/2006/relationships/ctrlProp" Target="../ctrProps/ctrProp72.xml" /><Relationship Id="rId13" Type="http://schemas.openxmlformats.org/officeDocument/2006/relationships/ctrlProp" Target="../ctrProps/ctrProp60.xml" /><Relationship Id="rId15" Type="http://schemas.openxmlformats.org/officeDocument/2006/relationships/ctrlProp" Target="../ctrProps/ctrProp62.xml" /><Relationship Id="rId6" Type="http://schemas.openxmlformats.org/officeDocument/2006/relationships/ctrlProp" Target="../ctrProps/ctrProp53.xml" /><Relationship Id="rId11" Type="http://schemas.openxmlformats.org/officeDocument/2006/relationships/ctrlProp" Target="../ctrProps/ctrProp58.xml" /><Relationship Id="rId12" Type="http://schemas.openxmlformats.org/officeDocument/2006/relationships/ctrlProp" Target="../ctrProps/ctrProp59.xml" /><Relationship Id="rId24" Type="http://schemas.openxmlformats.org/officeDocument/2006/relationships/ctrlProp" Target="../ctrProps/ctrProp71.xml" /><Relationship Id="rId7" Type="http://schemas.openxmlformats.org/officeDocument/2006/relationships/ctrlProp" Target="../ctrProps/ctrProp54.xml" /><Relationship Id="rId26" Type="http://schemas.openxmlformats.org/officeDocument/2006/relationships/drawing" Target="../drawings/drawing8.xml" /><Relationship Id="rId20" Type="http://schemas.openxmlformats.org/officeDocument/2006/relationships/ctrlProp" Target="../ctrProps/ctrProp67.xml" /><Relationship Id="rId3" Type="http://schemas.openxmlformats.org/officeDocument/2006/relationships/ctrlProp" Target="../ctrProps/ctrProp50.xml" /><Relationship Id="rId1" Type="http://schemas.openxmlformats.org/officeDocument/2006/relationships/ctrlProp" Target="../ctrProps/ctrProp48.xml" /><Relationship Id="rId8" Type="http://schemas.openxmlformats.org/officeDocument/2006/relationships/ctrlProp" Target="../ctrProps/ctrProp55.xml" /><Relationship Id="rId22" Type="http://schemas.openxmlformats.org/officeDocument/2006/relationships/ctrlProp" Target="../ctrProps/ctrProp69.xml" /><Relationship Id="rId19" Type="http://schemas.openxmlformats.org/officeDocument/2006/relationships/ctrlProp" Target="../ctrProps/ctrProp66.xml" /><Relationship Id="rId5" Type="http://schemas.openxmlformats.org/officeDocument/2006/relationships/ctrlProp" Target="../ctrProps/ctrProp52.xml" /><Relationship Id="rId16" Type="http://schemas.openxmlformats.org/officeDocument/2006/relationships/ctrlProp" Target="../ctrProps/ctrProp63.xml" /><Relationship Id="rId18" Type="http://schemas.openxmlformats.org/officeDocument/2006/relationships/ctrlProp" Target="../ctrProps/ctrProp65.xml" /></Relationships>
</file>

<file path=xl/worksheets/_rels/sheet9.xml.rels><?xml version="1.0" encoding="UTF-8" standalone="yes"?><Relationships xmlns="http://schemas.openxmlformats.org/package/2006/relationships"><Relationship Id="rId8" Type="http://schemas.openxmlformats.org/officeDocument/2006/relationships/ctrlProp" Target="../ctrProps/ctrProp80.xml" /><Relationship Id="rId10" Type="http://schemas.openxmlformats.org/officeDocument/2006/relationships/vmlDrawing" Target="../drawings/vmlDrawing7.vml" /><Relationship Id="rId9" Type="http://schemas.openxmlformats.org/officeDocument/2006/relationships/drawing" Target="../drawings/drawing9.xml" /><Relationship Id="rId5" Type="http://schemas.openxmlformats.org/officeDocument/2006/relationships/ctrlProp" Target="../ctrProps/ctrProp77.xml" /><Relationship Id="rId7" Type="http://schemas.openxmlformats.org/officeDocument/2006/relationships/ctrlProp" Target="../ctrProps/ctrProp79.xml" /><Relationship Id="rId3" Type="http://schemas.openxmlformats.org/officeDocument/2006/relationships/ctrlProp" Target="../ctrProps/ctrProp75.xml" /><Relationship Id="rId1" Type="http://schemas.openxmlformats.org/officeDocument/2006/relationships/ctrlProp" Target="../ctrProps/ctrProp73.xml" /><Relationship Id="rId2" Type="http://schemas.openxmlformats.org/officeDocument/2006/relationships/ctrlProp" Target="../ctrProps/ctrProp74.xml" /><Relationship Id="rId4" Type="http://schemas.openxmlformats.org/officeDocument/2006/relationships/ctrlProp" Target="../ctrProps/ctrProp76.xml" /><Relationship Id="rId6" Type="http://schemas.openxmlformats.org/officeDocument/2006/relationships/ctrlProp" Target="../ctrProps/ctrProp78.xml" /></Relationships>
</file>

<file path=xl/worksheets/_rels/sheet10.xml.rels><?xml version="1.0" encoding="UTF-8" standalone="yes"?><Relationships xmlns="http://schemas.openxmlformats.org/package/2006/relationships"><Relationship Id="rId8" Type="http://schemas.openxmlformats.org/officeDocument/2006/relationships/ctrlProp" Target="../ctrProps/ctrProp88.xml" /><Relationship Id="rId10" Type="http://schemas.openxmlformats.org/officeDocument/2006/relationships/drawing" Target="../drawings/drawing10.xml" /><Relationship Id="rId9" Type="http://schemas.openxmlformats.org/officeDocument/2006/relationships/ctrlProp" Target="../ctrProps/ctrProp89.xml" /><Relationship Id="rId11" Type="http://schemas.openxmlformats.org/officeDocument/2006/relationships/vmlDrawing" Target="../drawings/vmlDrawing8.vml" /><Relationship Id="rId5" Type="http://schemas.openxmlformats.org/officeDocument/2006/relationships/ctrlProp" Target="../ctrProps/ctrProp85.xml" /><Relationship Id="rId7" Type="http://schemas.openxmlformats.org/officeDocument/2006/relationships/ctrlProp" Target="../ctrProps/ctrProp87.xml" /><Relationship Id="rId3" Type="http://schemas.openxmlformats.org/officeDocument/2006/relationships/ctrlProp" Target="../ctrProps/ctrProp83.xml" /><Relationship Id="rId1" Type="http://schemas.openxmlformats.org/officeDocument/2006/relationships/ctrlProp" Target="../ctrProps/ctrProp81.xml" /><Relationship Id="rId2" Type="http://schemas.openxmlformats.org/officeDocument/2006/relationships/ctrlProp" Target="../ctrProps/ctrProp82.xml" /><Relationship Id="rId4" Type="http://schemas.openxmlformats.org/officeDocument/2006/relationships/ctrlProp" Target="../ctrProps/ctrProp84.xml" /><Relationship Id="rId6" Type="http://schemas.openxmlformats.org/officeDocument/2006/relationships/ctrlProp" Target="../ctrProps/ctrProp86.xml" /></Relationships>
</file>

<file path=xl/worksheets/_rels/sheet1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1.xml" /><Relationship Id="rId3" Type="http://schemas.openxmlformats.org/officeDocument/2006/relationships/vmlDrawing" Target="../drawings/vmlDrawing9.vml" /><Relationship Id="rId1" Type="http://schemas.openxmlformats.org/officeDocument/2006/relationships/ctrlProp" Target="../ctrProps/ctrProp90.xml" /></Relationships>
</file>

<file path=xl/worksheets/_rels/sheet12.xml.rels><?xml version="1.0" encoding="UTF-8" standalone="yes"?><Relationships xmlns="http://schemas.openxmlformats.org/package/2006/relationships"><Relationship Id="rId14" Type="http://schemas.openxmlformats.org/officeDocument/2006/relationships/drawing" Target="../drawings/drawing12.xml" /><Relationship Id="rId13" Type="http://schemas.openxmlformats.org/officeDocument/2006/relationships/ctrlProp" Target="../ctrProps/ctrProp103.xml" /><Relationship Id="rId7" Type="http://schemas.openxmlformats.org/officeDocument/2006/relationships/ctrlProp" Target="../ctrProps/ctrProp97.xml" /><Relationship Id="rId12" Type="http://schemas.openxmlformats.org/officeDocument/2006/relationships/ctrlProp" Target="../ctrProps/ctrProp102.xml" /><Relationship Id="rId9" Type="http://schemas.openxmlformats.org/officeDocument/2006/relationships/ctrlProp" Target="../ctrProps/ctrProp99.xml" /><Relationship Id="rId2" Type="http://schemas.openxmlformats.org/officeDocument/2006/relationships/ctrlProp" Target="../ctrProps/ctrProp92.xml" /><Relationship Id="rId15" Type="http://schemas.openxmlformats.org/officeDocument/2006/relationships/vmlDrawing" Target="../drawings/vmlDrawing10.vml" /><Relationship Id="rId8" Type="http://schemas.openxmlformats.org/officeDocument/2006/relationships/ctrlProp" Target="../ctrProps/ctrProp98.xml" /><Relationship Id="rId3" Type="http://schemas.openxmlformats.org/officeDocument/2006/relationships/ctrlProp" Target="../ctrProps/ctrProp93.xml" /><Relationship Id="rId1" Type="http://schemas.openxmlformats.org/officeDocument/2006/relationships/ctrlProp" Target="../ctrProps/ctrProp91.xml" /><Relationship Id="rId4" Type="http://schemas.openxmlformats.org/officeDocument/2006/relationships/ctrlProp" Target="../ctrProps/ctrProp94.xml" /><Relationship Id="rId11" Type="http://schemas.openxmlformats.org/officeDocument/2006/relationships/ctrlProp" Target="../ctrProps/ctrProp101.xml" /><Relationship Id="rId5" Type="http://schemas.openxmlformats.org/officeDocument/2006/relationships/ctrlProp" Target="../ctrProps/ctrProp95.xml" /><Relationship Id="rId6" Type="http://schemas.openxmlformats.org/officeDocument/2006/relationships/ctrlProp" Target="../ctrProps/ctrProp96.xml" /><Relationship Id="rId10" Type="http://schemas.openxmlformats.org/officeDocument/2006/relationships/ctrlProp" Target="../ctrProps/ctrProp100.xml" /></Relationships>
</file>

<file path=xl/worksheets/_rels/sheet13.xml.rels><?xml version="1.0" encoding="UTF-8" standalone="yes"?><Relationships xmlns="http://schemas.openxmlformats.org/package/2006/relationships"><Relationship Id="rId8" Type="http://schemas.openxmlformats.org/officeDocument/2006/relationships/drawing" Target="../drawings/drawing13.xml" /><Relationship Id="rId10" Type="http://schemas.openxmlformats.org/officeDocument/2006/relationships/printerSettings" Target="../printerSettings/printerSettings6.bin" /><Relationship Id="rId9" Type="http://schemas.openxmlformats.org/officeDocument/2006/relationships/vmlDrawing" Target="../drawings/vmlDrawing11.vml" /><Relationship Id="rId5" Type="http://schemas.openxmlformats.org/officeDocument/2006/relationships/ctrlProp" Target="../ctrProps/ctrProp108.xml" /><Relationship Id="rId7" Type="http://schemas.openxmlformats.org/officeDocument/2006/relationships/ctrlProp" Target="../ctrProps/ctrProp110.xml" /><Relationship Id="rId3" Type="http://schemas.openxmlformats.org/officeDocument/2006/relationships/ctrlProp" Target="../ctrProps/ctrProp106.xml" /><Relationship Id="rId1" Type="http://schemas.openxmlformats.org/officeDocument/2006/relationships/ctrlProp" Target="../ctrProps/ctrProp104.xml" /><Relationship Id="rId2" Type="http://schemas.openxmlformats.org/officeDocument/2006/relationships/ctrlProp" Target="../ctrProps/ctrProp105.xml" /><Relationship Id="rId4" Type="http://schemas.openxmlformats.org/officeDocument/2006/relationships/ctrlProp" Target="../ctrProps/ctrProp107.xml" /><Relationship Id="rId6" Type="http://schemas.openxmlformats.org/officeDocument/2006/relationships/ctrlProp" Target="../ctrProps/ctrProp109.xml" /></Relationships>
</file>

<file path=xl/worksheets/_rels/sheet14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4.xml" /><Relationship Id="rId3" Type="http://schemas.openxmlformats.org/officeDocument/2006/relationships/vmlDrawing" Target="../drawings/vmlDrawing12.vml" /><Relationship Id="rId1" Type="http://schemas.openxmlformats.org/officeDocument/2006/relationships/ctrlProp" Target="../ctrProps/ctrProp111.xml" /></Relationships>
</file>

<file path=xl/worksheets/_rels/sheet16.xml.rels><?xml version="1.0" encoding="UTF-8" standalone="yes"?><Relationships xmlns="http://schemas.openxmlformats.org/package/2006/relationships"><Relationship Id="rId8" Type="http://schemas.openxmlformats.org/officeDocument/2006/relationships/ctrlProp" Target="../ctrProps/ctrProp119.xml" /><Relationship Id="rId10" Type="http://schemas.openxmlformats.org/officeDocument/2006/relationships/vmlDrawing" Target="../drawings/vmlDrawing13.vml" /><Relationship Id="rId9" Type="http://schemas.openxmlformats.org/officeDocument/2006/relationships/drawing" Target="../drawings/drawing15.xml" /><Relationship Id="rId11" Type="http://schemas.openxmlformats.org/officeDocument/2006/relationships/printerSettings" Target="../printerSettings/printerSettings7.bin" /><Relationship Id="rId5" Type="http://schemas.openxmlformats.org/officeDocument/2006/relationships/ctrlProp" Target="../ctrProps/ctrProp116.xml" /><Relationship Id="rId7" Type="http://schemas.openxmlformats.org/officeDocument/2006/relationships/ctrlProp" Target="../ctrProps/ctrProp118.xml" /><Relationship Id="rId3" Type="http://schemas.openxmlformats.org/officeDocument/2006/relationships/ctrlProp" Target="../ctrProps/ctrProp114.xml" /><Relationship Id="rId1" Type="http://schemas.openxmlformats.org/officeDocument/2006/relationships/ctrlProp" Target="../ctrProps/ctrProp112.xml" /><Relationship Id="rId2" Type="http://schemas.openxmlformats.org/officeDocument/2006/relationships/ctrlProp" Target="../ctrProps/ctrProp113.xml" /><Relationship Id="rId4" Type="http://schemas.openxmlformats.org/officeDocument/2006/relationships/ctrlProp" Target="../ctrProps/ctrProp115.xml" /><Relationship Id="rId6" Type="http://schemas.openxmlformats.org/officeDocument/2006/relationships/ctrlProp" Target="../ctrProps/ctrProp117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2:L386"/>
  <sheetViews>
    <sheetView zoomScale="85" zoomScaleNormal="85" workbookViewId="0" topLeftCell="A144">
      <selection pane="topLeft" activeCell="A329" sqref="A329:D329"/>
    </sheetView>
  </sheetViews>
  <sheetFormatPr defaultColWidth="8.714285714285714" defaultRowHeight="15"/>
  <cols>
    <col min="1" max="1" width="13.142857142857142" customWidth="1"/>
    <col min="2" max="2" width="77.57142857142857" bestFit="1" customWidth="1"/>
    <col min="3" max="3" width="5.857142857142857" bestFit="1" customWidth="1"/>
    <col min="4" max="4" width="8.285714285714286" style="87" bestFit="1" customWidth="1"/>
    <col min="5" max="5" width="12.714285714285714" style="87" customWidth="1"/>
    <col min="10" max="10" width="31.285714285714285" bestFit="1" customWidth="1"/>
  </cols>
  <sheetData>
    <row r="2" spans="1:5" ht="15">
      <c r="A2" s="160"/>
      <c r="B2" s="160"/>
      <c r="C2" s="160"/>
      <c r="D2" s="245"/>
      <c r="E2" s="245"/>
    </row>
    <row r="3" spans="1:5" ht="15">
      <c r="A3" s="160"/>
      <c r="B3" s="161" t="s">
        <v>1883</v>
      </c>
      <c r="C3" s="160"/>
      <c r="D3" s="245"/>
      <c r="E3" s="245"/>
    </row>
    <row r="4" spans="1:5" ht="15">
      <c r="A4" s="160"/>
      <c r="B4" s="161" t="s">
        <v>1884</v>
      </c>
      <c r="C4" s="160"/>
      <c r="D4" s="245"/>
      <c r="E4" s="245"/>
    </row>
    <row r="5" spans="1:5" ht="15">
      <c r="A5" s="160"/>
      <c r="B5" s="160"/>
      <c r="C5" s="160"/>
      <c r="D5" s="245"/>
      <c r="E5" s="245"/>
    </row>
    <row r="6" spans="1:5" ht="15">
      <c r="A6" s="160"/>
      <c r="B6" s="160"/>
      <c r="C6" s="160"/>
      <c r="D6" s="245"/>
      <c r="E6" s="245"/>
    </row>
    <row r="7" spans="1:5" ht="15">
      <c r="A7" s="160"/>
      <c r="B7" s="160"/>
      <c r="C7" s="160"/>
      <c r="D7" s="245"/>
      <c r="E7" s="245"/>
    </row>
    <row r="8" spans="1:5" ht="15">
      <c r="A8" s="160"/>
      <c r="B8" s="160"/>
      <c r="C8" s="160"/>
      <c r="D8" s="245"/>
      <c r="E8" s="245"/>
    </row>
    <row r="9" spans="1:5" ht="15">
      <c r="A9" s="447" t="s">
        <v>1885</v>
      </c>
      <c r="B9" s="448"/>
      <c r="C9" s="448"/>
      <c r="D9" s="448"/>
      <c r="E9" s="449"/>
    </row>
    <row r="10" spans="1:5" ht="1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ht="1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ht="1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ht="1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ht="15">
      <c r="A14" s="459" t="s">
        <v>1889</v>
      </c>
      <c r="B14" s="460"/>
      <c r="C14" s="460"/>
      <c r="D14" s="460"/>
      <c r="E14" s="461"/>
    </row>
    <row r="15" spans="1:5" ht="15">
      <c r="A15" s="164"/>
      <c r="B15" s="164"/>
      <c r="C15" s="164"/>
      <c r="D15" s="248"/>
      <c r="E15" s="248"/>
    </row>
    <row r="16" spans="1:5" ht="1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5" ht="1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5" ht="1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5" ht="15">
      <c r="A19" s="450" t="s">
        <v>1890</v>
      </c>
      <c r="B19" s="451"/>
      <c r="C19" s="451"/>
      <c r="D19" s="451"/>
      <c r="E19" s="452"/>
    </row>
    <row r="20" spans="1:10" ht="15">
      <c r="A20" s="164"/>
      <c r="B20" s="164"/>
      <c r="C20" s="164"/>
      <c r="D20" s="248"/>
      <c r="E20" s="248"/>
      <c r="J20" t="s">
        <v>1837</v>
      </c>
    </row>
    <row r="21" spans="1:5" ht="1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5" ht="1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5" ht="1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5" ht="1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5" ht="1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5" ht="1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5" ht="15">
      <c r="A27" s="450" t="s">
        <v>1891</v>
      </c>
      <c r="B27" s="451"/>
      <c r="C27" s="451"/>
      <c r="D27" s="451"/>
      <c r="E27" s="452"/>
    </row>
    <row r="28" spans="1:5" ht="15">
      <c r="A28" s="166"/>
      <c r="B28" s="167"/>
      <c r="C28" s="167"/>
      <c r="D28" s="249"/>
      <c r="E28" s="250"/>
    </row>
    <row r="29" spans="1:5" ht="1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5" ht="15">
      <c r="A30" s="163"/>
      <c r="B30" s="164"/>
      <c r="C30" s="163"/>
      <c r="D30" s="247"/>
      <c r="E30" s="247"/>
    </row>
    <row r="31" spans="1:5" ht="1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5" ht="1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ht="15">
      <c r="A33" s="163"/>
      <c r="B33" s="164"/>
      <c r="C33" s="163"/>
      <c r="D33" s="247"/>
      <c r="E33" s="247"/>
    </row>
    <row r="34" spans="1:5" ht="1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ht="1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ht="1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ht="1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ht="15">
      <c r="A38" s="163"/>
      <c r="B38" s="164"/>
      <c r="C38" s="164"/>
      <c r="D38" s="248"/>
      <c r="E38" s="248"/>
    </row>
    <row r="39" spans="1:5" ht="1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ht="1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ht="1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ht="15">
      <c r="A42" s="462" t="s">
        <v>1892</v>
      </c>
      <c r="B42" s="462"/>
      <c r="C42" s="462"/>
      <c r="D42" s="462"/>
      <c r="E42" s="462"/>
    </row>
    <row r="43" spans="1:5" ht="15">
      <c r="A43" s="168"/>
      <c r="B43" s="168"/>
      <c r="C43" s="168"/>
      <c r="D43" s="251"/>
      <c r="E43" s="251"/>
    </row>
    <row r="44" spans="1:5" ht="1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ht="15">
      <c r="A45" s="168"/>
      <c r="B45" s="168"/>
      <c r="C45" s="168"/>
      <c r="D45" s="251"/>
      <c r="E45" s="251"/>
    </row>
    <row r="46" spans="1:5" ht="15">
      <c r="A46" s="447" t="s">
        <v>1894</v>
      </c>
      <c r="B46" s="448"/>
      <c r="C46" s="448"/>
      <c r="D46" s="448"/>
      <c r="E46" s="449"/>
    </row>
    <row r="47" spans="1:5" ht="1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ht="1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ht="1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ht="1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ht="1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ht="1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ht="15">
      <c r="A53" s="444" t="s">
        <v>1900</v>
      </c>
      <c r="B53" s="445"/>
      <c r="C53" s="445"/>
      <c r="D53" s="445"/>
      <c r="E53" s="446"/>
    </row>
    <row r="54" spans="1:5" ht="15">
      <c r="A54" s="171"/>
      <c r="B54" s="172"/>
      <c r="C54" s="172"/>
      <c r="D54" s="249"/>
      <c r="E54" s="250"/>
    </row>
    <row r="55" spans="1:5" ht="1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ht="1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ht="1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ht="15">
      <c r="A58" s="173"/>
      <c r="B58" s="164"/>
      <c r="C58" s="163"/>
      <c r="D58" s="247"/>
      <c r="E58" s="247"/>
    </row>
    <row r="59" spans="1:5" ht="1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ht="1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ht="1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ht="15">
      <c r="A62" s="441"/>
      <c r="B62" s="442"/>
      <c r="C62" s="442"/>
      <c r="D62" s="442"/>
      <c r="E62" s="443"/>
    </row>
    <row r="63" spans="1:5" ht="1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ht="1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ht="15">
      <c r="A65" s="166"/>
      <c r="B65" s="167"/>
      <c r="C65" s="167"/>
      <c r="D65" s="249"/>
      <c r="E65" s="250"/>
    </row>
    <row r="66" spans="1:5" ht="15">
      <c r="A66" s="447" t="s">
        <v>1909</v>
      </c>
      <c r="B66" s="448"/>
      <c r="C66" s="448"/>
      <c r="D66" s="448"/>
      <c r="E66" s="449"/>
    </row>
    <row r="67" spans="1:5" ht="1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ht="1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ht="15">
      <c r="A69" s="450" t="s">
        <v>1910</v>
      </c>
      <c r="B69" s="451"/>
      <c r="C69" s="451"/>
      <c r="D69" s="451"/>
      <c r="E69" s="452"/>
    </row>
    <row r="70" spans="1:5" ht="15">
      <c r="A70" s="166"/>
      <c r="B70" s="167"/>
      <c r="C70" s="167"/>
      <c r="D70" s="249"/>
      <c r="E70" s="250"/>
    </row>
    <row r="71" spans="1:5" ht="1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ht="15">
      <c r="A72" s="450" t="s">
        <v>1911</v>
      </c>
      <c r="B72" s="451"/>
      <c r="C72" s="451"/>
      <c r="D72" s="451"/>
      <c r="E72" s="452"/>
    </row>
    <row r="73" spans="1:5" ht="15">
      <c r="A73" s="166"/>
      <c r="B73" s="167"/>
      <c r="C73" s="167"/>
      <c r="D73" s="249"/>
      <c r="E73" s="250"/>
    </row>
    <row r="74" spans="1:5" ht="1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ht="15">
      <c r="A75" s="453" t="s">
        <v>1912</v>
      </c>
      <c r="B75" s="454"/>
      <c r="C75" s="454"/>
      <c r="D75" s="454"/>
      <c r="E75" s="455"/>
    </row>
    <row r="76" spans="1:5" ht="15">
      <c r="A76" s="175"/>
      <c r="B76" s="176"/>
      <c r="C76" s="176"/>
      <c r="D76" s="252"/>
      <c r="E76" s="253"/>
    </row>
    <row r="77" spans="1:5" ht="1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ht="15">
      <c r="A78" s="164"/>
      <c r="B78" s="165"/>
      <c r="C78" s="164"/>
      <c r="D78" s="247"/>
      <c r="E78" s="247"/>
    </row>
    <row r="79" spans="1:5" ht="1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ht="1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ht="15">
      <c r="A81" s="163"/>
      <c r="B81" s="165"/>
      <c r="C81" s="163"/>
      <c r="D81" s="247"/>
      <c r="E81" s="247"/>
    </row>
    <row r="82" spans="1:5" ht="1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ht="1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ht="1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ht="15">
      <c r="A85" s="163"/>
      <c r="B85" s="165"/>
      <c r="C85" s="163"/>
      <c r="D85" s="247"/>
      <c r="E85" s="247"/>
    </row>
    <row r="86" spans="1:5" ht="1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ht="15">
      <c r="A87" s="160"/>
      <c r="B87" s="160"/>
      <c r="C87" s="160"/>
      <c r="D87" s="245"/>
      <c r="E87" s="245"/>
    </row>
    <row r="88" spans="1:5" ht="15">
      <c r="A88" s="447" t="s">
        <v>1917</v>
      </c>
      <c r="B88" s="448"/>
      <c r="C88" s="448"/>
      <c r="D88" s="448"/>
      <c r="E88" s="449"/>
    </row>
    <row r="89" spans="1:5" ht="1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ht="15">
      <c r="A92" s="178"/>
      <c r="B92" s="179"/>
      <c r="C92" s="180"/>
      <c r="D92" s="254"/>
      <c r="E92" s="254"/>
    </row>
    <row r="93" spans="1:5" ht="1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ht="1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ht="1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ht="1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ht="15">
      <c r="A97" s="163"/>
      <c r="B97" s="164"/>
      <c r="C97" s="163"/>
      <c r="D97" s="247"/>
      <c r="E97" s="247"/>
    </row>
    <row r="98" spans="1:5" ht="1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ht="1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ht="1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ht="15">
      <c r="A101" s="163"/>
      <c r="B101" s="165"/>
      <c r="C101" s="163"/>
      <c r="D101" s="247"/>
      <c r="E101" s="247"/>
    </row>
    <row r="102" spans="1:5" ht="1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ht="1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ht="15">
      <c r="A104" s="163" t="s">
        <v>901</v>
      </c>
      <c r="B104" s="164" t="s">
        <v>902</v>
      </c>
      <c r="C104" s="163">
        <v>1</v>
      </c>
      <c r="D104" s="247">
        <f>+VLOOKUP(A104,Base!$A$5:$E$1610,4,FALSE)</f>
        <v>0.053881519928232736</v>
      </c>
      <c r="E104" s="247">
        <f>+VLOOKUP(A104,Base!$A$5:$F$1610,5,FALSE)</f>
        <v>0.067351899910290919</v>
      </c>
    </row>
    <row r="105" spans="1:5" ht="1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ht="15">
      <c r="A106" s="182"/>
      <c r="B106" s="160"/>
      <c r="C106" s="160"/>
      <c r="D106" s="245"/>
      <c r="E106" s="245"/>
    </row>
    <row r="107" spans="1:5" ht="1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ht="15">
      <c r="A108" s="160"/>
      <c r="B108" s="160"/>
      <c r="C108" s="160"/>
      <c r="D108" s="245"/>
      <c r="E108" s="245"/>
    </row>
    <row r="109" spans="1:5" ht="1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ht="1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ht="1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ht="1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ht="1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ht="1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ht="1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ht="15">
      <c r="A116" s="183"/>
      <c r="B116" s="184"/>
      <c r="C116" s="160"/>
      <c r="D116" s="245"/>
      <c r="E116" s="245"/>
    </row>
    <row r="117" spans="1:5" ht="15">
      <c r="A117" s="447" t="s">
        <v>1928</v>
      </c>
      <c r="B117" s="448"/>
      <c r="C117" s="448"/>
      <c r="D117" s="448"/>
      <c r="E117" s="449"/>
    </row>
    <row r="118" spans="1:5" ht="1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ht="1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ht="1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ht="15">
      <c r="A121" s="163"/>
      <c r="B121" s="165"/>
      <c r="C121" s="168"/>
      <c r="D121" s="251"/>
      <c r="E121" s="251"/>
    </row>
    <row r="122" spans="1:5" ht="1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ht="1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ht="1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ht="15">
      <c r="A125" s="163"/>
      <c r="B125" s="165"/>
      <c r="C125" s="168"/>
      <c r="D125" s="251"/>
      <c r="E125" s="251"/>
    </row>
    <row r="126" spans="1:5" ht="1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ht="1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ht="1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ht="15">
      <c r="A129" s="163"/>
      <c r="B129" s="165"/>
      <c r="C129" s="168"/>
      <c r="D129" s="251"/>
      <c r="E129" s="251"/>
    </row>
    <row r="130" spans="1:5" ht="1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ht="1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ht="15">
      <c r="A132" s="163"/>
      <c r="B132" s="165"/>
      <c r="C132" s="181"/>
      <c r="D132" s="251"/>
      <c r="E132" s="251"/>
    </row>
    <row r="133" spans="1:5" ht="1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ht="1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ht="1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ht="15">
      <c r="A136" s="163"/>
      <c r="B136" s="165"/>
      <c r="C136" s="168"/>
      <c r="D136" s="251"/>
      <c r="E136" s="251"/>
    </row>
    <row r="137" spans="1:5" ht="1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ht="1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ht="1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ht="1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ht="1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ht="15">
      <c r="A142" s="160"/>
      <c r="B142" s="165" t="e">
        <v>#N/A</v>
      </c>
      <c r="C142" s="187"/>
      <c r="D142" s="255"/>
      <c r="E142" s="255"/>
    </row>
    <row r="143" spans="1:5" ht="15">
      <c r="A143" s="160"/>
      <c r="B143" s="184"/>
      <c r="C143" s="160"/>
      <c r="D143" s="245"/>
      <c r="E143" s="245"/>
    </row>
    <row r="144" spans="1:5" ht="15">
      <c r="A144" s="447" t="s">
        <v>1941</v>
      </c>
      <c r="B144" s="448"/>
      <c r="C144" s="448"/>
      <c r="D144" s="448"/>
      <c r="E144" s="449"/>
    </row>
    <row r="145" spans="1:5" ht="1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ht="1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ht="1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ht="1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ht="1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ht="1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ht="1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ht="1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ht="15">
      <c r="A153" s="160"/>
      <c r="B153" s="160"/>
      <c r="C153" s="160"/>
      <c r="D153" s="245"/>
      <c r="E153" s="245"/>
    </row>
    <row r="154" spans="1:5" ht="15">
      <c r="A154" s="447" t="s">
        <v>1948</v>
      </c>
      <c r="B154" s="448"/>
      <c r="C154" s="448"/>
      <c r="D154" s="448"/>
      <c r="E154" s="449"/>
    </row>
    <row r="155" spans="1:5" ht="1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ht="1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ht="1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ht="1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ht="1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ht="1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ht="15">
      <c r="A161" s="163"/>
      <c r="B161" s="164"/>
      <c r="C161" s="168"/>
      <c r="D161" s="251"/>
      <c r="E161" s="251"/>
    </row>
    <row r="162" spans="1:5" ht="1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ht="1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ht="1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ht="1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ht="15">
      <c r="A166" s="163"/>
      <c r="B166" s="164"/>
      <c r="C166" s="168"/>
      <c r="D166" s="251"/>
      <c r="E166" s="251"/>
    </row>
    <row r="167" spans="1:5" ht="1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ht="15">
      <c r="A168" s="163"/>
      <c r="B168" s="164"/>
      <c r="C168" s="168"/>
      <c r="D168" s="251"/>
      <c r="E168" s="251"/>
    </row>
    <row r="169" spans="1:5" ht="1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ht="15">
      <c r="A170" s="163"/>
      <c r="B170" s="164"/>
      <c r="C170" s="168"/>
      <c r="D170" s="251"/>
      <c r="E170" s="251"/>
    </row>
    <row r="171" spans="1:5" ht="1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ht="1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ht="15">
      <c r="A173" s="164"/>
      <c r="B173" s="164"/>
      <c r="C173" s="164"/>
      <c r="D173" s="248"/>
      <c r="E173" s="248"/>
    </row>
    <row r="174" spans="1:5" ht="1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ht="1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ht="1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ht="1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ht="1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ht="15">
      <c r="A179" s="168"/>
      <c r="B179" s="164"/>
      <c r="C179" s="163"/>
      <c r="D179" s="247"/>
      <c r="E179" s="247"/>
    </row>
    <row r="180" spans="1:5" ht="1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ht="1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ht="1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ht="1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ht="1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ht="1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ht="15">
      <c r="A186" s="168"/>
      <c r="B186" s="165"/>
      <c r="C186" s="163"/>
      <c r="D186" s="247"/>
      <c r="E186" s="247"/>
    </row>
    <row r="187" spans="1:5" ht="15">
      <c r="A187" s="168"/>
      <c r="B187" s="165"/>
      <c r="C187" s="163"/>
      <c r="D187" s="247"/>
      <c r="E187" s="247"/>
    </row>
    <row r="188" spans="1:5" ht="1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ht="1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ht="1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ht="1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ht="15">
      <c r="A192" s="163"/>
      <c r="B192" s="165"/>
      <c r="C192" s="164"/>
      <c r="D192" s="248"/>
      <c r="E192" s="248"/>
    </row>
    <row r="193" spans="1:5" ht="1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ht="1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ht="1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ht="15">
      <c r="A196" s="163"/>
      <c r="B196" s="164"/>
      <c r="C196" s="163"/>
      <c r="D196" s="247"/>
      <c r="E196" s="247"/>
    </row>
    <row r="197" spans="1:5" ht="1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ht="1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ht="1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ht="1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ht="1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ht="1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ht="1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ht="1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ht="1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ht="1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ht="1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ht="1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ht="1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ht="1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ht="1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ht="15">
      <c r="A212" s="163"/>
      <c r="B212" s="164"/>
      <c r="C212" s="163"/>
      <c r="D212" s="247"/>
      <c r="E212" s="247"/>
    </row>
    <row r="213" spans="1:5" ht="1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ht="15">
      <c r="A214" s="163"/>
      <c r="B214" s="164"/>
      <c r="C214" s="163"/>
      <c r="D214" s="247"/>
      <c r="E214" s="247"/>
    </row>
    <row r="215" spans="1:5" ht="1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ht="1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ht="1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ht="1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ht="15">
      <c r="A219" s="163"/>
      <c r="B219" s="164"/>
      <c r="C219" s="163"/>
      <c r="D219" s="247"/>
      <c r="E219" s="247"/>
    </row>
    <row r="220" spans="1:5" ht="1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ht="15">
      <c r="A221" s="163"/>
      <c r="B221" s="164"/>
      <c r="C221" s="163"/>
      <c r="D221" s="247"/>
      <c r="E221" s="247"/>
    </row>
    <row r="222" spans="1:5" ht="1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ht="1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ht="1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ht="1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ht="1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ht="15">
      <c r="A227" s="163"/>
      <c r="B227" s="164"/>
      <c r="C227" s="163"/>
      <c r="D227" s="247"/>
      <c r="E227" s="247"/>
    </row>
    <row r="228" spans="1:5" ht="1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ht="15">
      <c r="A229" s="163"/>
      <c r="B229" s="164"/>
      <c r="C229" s="163"/>
      <c r="D229" s="247"/>
      <c r="E229" s="247"/>
    </row>
    <row r="230" spans="1:5" ht="1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ht="1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ht="1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ht="1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ht="1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ht="15">
      <c r="A235" s="163"/>
      <c r="B235" s="164"/>
      <c r="C235" s="163"/>
      <c r="D235" s="247"/>
      <c r="E235" s="247"/>
    </row>
    <row r="236" spans="1:5" ht="1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ht="1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ht="1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ht="1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ht="15">
      <c r="A240" s="163"/>
      <c r="B240" s="164"/>
      <c r="C240" s="163"/>
      <c r="D240" s="247"/>
      <c r="E240" s="247"/>
    </row>
    <row r="241" spans="1:5" ht="1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ht="1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ht="1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ht="1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ht="1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ht="15">
      <c r="A246" s="163"/>
      <c r="B246" s="164"/>
      <c r="C246" s="163"/>
      <c r="D246" s="247"/>
      <c r="E246" s="247"/>
    </row>
    <row r="247" spans="1:5" ht="1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ht="1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17.546484375</v>
      </c>
    </row>
    <row r="249" spans="1:5" ht="1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ht="1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ht="15">
      <c r="A251" s="163"/>
      <c r="B251" s="164"/>
      <c r="C251" s="163"/>
      <c r="D251" s="247"/>
      <c r="E251" s="247"/>
    </row>
    <row r="252" spans="1:5" ht="1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ht="15">
      <c r="A253" s="163"/>
      <c r="B253" s="164"/>
      <c r="C253" s="163"/>
      <c r="D253" s="247"/>
      <c r="E253" s="247"/>
    </row>
    <row r="254" spans="1:5" ht="1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ht="15">
      <c r="A255" s="163"/>
      <c r="B255" s="164"/>
      <c r="C255" s="163"/>
      <c r="D255" s="247"/>
      <c r="E255" s="247"/>
    </row>
    <row r="256" spans="1:5" ht="1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ht="15">
      <c r="A257" s="160"/>
      <c r="B257" s="160"/>
      <c r="C257" s="160"/>
      <c r="D257" s="245"/>
      <c r="E257" s="245"/>
    </row>
    <row r="258" spans="1:5" ht="15">
      <c r="A258" s="456" t="s">
        <v>1961</v>
      </c>
      <c r="B258" s="457"/>
      <c r="C258" s="457"/>
      <c r="D258" s="457"/>
      <c r="E258" s="458"/>
    </row>
    <row r="259" spans="1:5" ht="1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ht="1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ht="1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ht="1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ht="15">
      <c r="A263" s="441"/>
      <c r="B263" s="442"/>
      <c r="C263" s="442"/>
      <c r="D263" s="442"/>
      <c r="E263" s="443"/>
    </row>
    <row r="264" spans="1:5" ht="1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ht="1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ht="15">
      <c r="A266" s="189"/>
      <c r="B266" s="190"/>
      <c r="C266" s="191"/>
      <c r="D266" s="256"/>
      <c r="E266" s="256"/>
    </row>
    <row r="267" spans="1:5" ht="1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ht="1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ht="1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ht="1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ht="15">
      <c r="A271" s="193"/>
      <c r="B271" s="194"/>
      <c r="C271" s="195"/>
      <c r="D271" s="257"/>
      <c r="E271" s="257"/>
    </row>
    <row r="272" spans="1:5" ht="15">
      <c r="A272" s="196"/>
      <c r="B272" s="197" t="s">
        <v>1963</v>
      </c>
      <c r="C272" s="196"/>
      <c r="D272" s="258"/>
      <c r="E272" s="258"/>
    </row>
    <row r="273" spans="1:5" ht="1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ht="1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ht="1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ht="15">
      <c r="A276" s="163"/>
      <c r="B276" s="164"/>
      <c r="C276" s="163"/>
      <c r="D276" s="247"/>
      <c r="E276" s="247"/>
    </row>
    <row r="277" spans="1:5" ht="1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ht="1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ht="1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ht="1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ht="15">
      <c r="A281" s="198"/>
      <c r="B281" s="75"/>
      <c r="C281" s="163"/>
      <c r="D281" s="247"/>
      <c r="E281" s="247"/>
    </row>
    <row r="282" spans="1:5" ht="15">
      <c r="A282" s="163"/>
      <c r="B282" s="164"/>
      <c r="C282" s="163"/>
      <c r="D282" s="247"/>
      <c r="E282" s="247"/>
    </row>
    <row r="283" spans="1:5" ht="15">
      <c r="A283" s="196"/>
      <c r="B283" s="197" t="s">
        <v>1812</v>
      </c>
      <c r="C283" s="196"/>
      <c r="D283" s="258"/>
      <c r="E283" s="258"/>
    </row>
    <row r="284" spans="1:5" ht="1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ht="1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ht="1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ht="15">
      <c r="A287" s="164"/>
      <c r="B287" s="164"/>
      <c r="C287" s="164"/>
      <c r="D287" s="248"/>
      <c r="E287" s="248"/>
    </row>
    <row r="288" spans="1:5" ht="15">
      <c r="A288" s="196"/>
      <c r="B288" s="197" t="s">
        <v>1969</v>
      </c>
      <c r="C288" s="196"/>
      <c r="D288" s="258"/>
      <c r="E288" s="258"/>
    </row>
    <row r="289" spans="1:5" ht="1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5" ht="1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5" ht="1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5" ht="1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5" ht="15">
      <c r="A293" s="160"/>
      <c r="B293" s="160"/>
      <c r="C293" s="160"/>
      <c r="D293" s="245"/>
      <c r="E293" s="245"/>
    </row>
    <row r="294" spans="1:5" ht="15">
      <c r="A294" s="199"/>
      <c r="B294" s="200" t="s">
        <v>1970</v>
      </c>
      <c r="C294" s="199"/>
      <c r="D294" s="259"/>
      <c r="E294" s="259"/>
    </row>
    <row r="295" spans="1:5" ht="1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5" ht="1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5" ht="15">
      <c r="A297" s="168">
        <v>8590224</v>
      </c>
      <c r="B297" s="201" t="s">
        <v>1972</v>
      </c>
      <c r="C297" s="163">
        <v>152.40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5" ht="1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5" ht="15">
      <c r="A299" s="168"/>
      <c r="B299" s="164"/>
      <c r="C299" s="163"/>
      <c r="D299" s="247"/>
      <c r="E299" s="247"/>
    </row>
    <row r="300" spans="1:5" ht="1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5" ht="1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5" ht="15">
      <c r="A302" s="206"/>
      <c r="B302" s="164"/>
      <c r="C302" s="164"/>
      <c r="D302" s="248"/>
      <c r="E302" s="248"/>
    </row>
    <row r="303" spans="1:12" ht="1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5" ht="1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ht="1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ht="1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ht="1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ht="1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ht="1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ht="1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ht="15">
      <c r="A311" s="183"/>
      <c r="B311" s="160"/>
      <c r="C311" s="195"/>
      <c r="D311" s="382"/>
      <c r="E311" s="382"/>
    </row>
    <row r="312" spans="1:5" ht="1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ht="1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ht="1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ht="1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ht="1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ht="1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ht="15">
      <c r="A318" s="183"/>
      <c r="B318" s="160"/>
      <c r="C318" s="195"/>
      <c r="D318" s="382"/>
      <c r="E318" s="382"/>
    </row>
    <row r="319" spans="1:5" ht="1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ht="1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ht="1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ht="1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ht="1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ht="15">
      <c r="A324" s="160"/>
      <c r="B324" s="160"/>
      <c r="C324" s="160"/>
      <c r="D324" s="245"/>
      <c r="E324" s="245"/>
    </row>
    <row r="325" spans="1:5" ht="15">
      <c r="A325" s="160"/>
      <c r="B325" s="209" t="s">
        <v>1982</v>
      </c>
      <c r="C325" s="160"/>
      <c r="D325" s="245"/>
      <c r="E325" s="245"/>
    </row>
    <row r="326" spans="1:5" ht="15">
      <c r="A326" s="160"/>
      <c r="B326" s="160"/>
      <c r="C326" s="160"/>
      <c r="D326" s="245"/>
      <c r="E326" s="245"/>
    </row>
    <row r="327" spans="1:5" ht="1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ht="1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ht="1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ht="1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ht="1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ht="1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ht="15">
      <c r="A333" s="160"/>
      <c r="B333" s="160"/>
      <c r="C333" s="160"/>
      <c r="D333" s="245"/>
      <c r="E333" s="245"/>
    </row>
    <row r="334" spans="1:5" ht="1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ht="1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ht="15">
      <c r="A336" s="160"/>
      <c r="B336" s="160"/>
      <c r="C336" s="160"/>
      <c r="D336" s="245"/>
      <c r="E336" s="245"/>
    </row>
    <row r="337" spans="1:5" ht="1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ht="1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ht="1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ht="1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ht="15">
      <c r="A341" s="160"/>
      <c r="B341" s="160"/>
      <c r="C341" s="160"/>
      <c r="D341" s="245"/>
      <c r="E341" s="245"/>
    </row>
    <row r="342" spans="1:5" ht="1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ht="1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ht="1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ht="1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ht="15">
      <c r="A346" s="160"/>
      <c r="B346" s="160"/>
      <c r="C346" s="160"/>
      <c r="D346" s="245"/>
      <c r="E346" s="245"/>
    </row>
    <row r="347" spans="1:5" ht="1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ht="1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ht="1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ht="1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ht="1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ht="1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ht="1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ht="15">
      <c r="A354" s="183"/>
      <c r="B354" s="421"/>
      <c r="C354" s="183"/>
      <c r="D354" s="257"/>
      <c r="E354" s="257"/>
    </row>
    <row r="355" spans="1:5" ht="1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ht="1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ht="1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ht="15">
      <c r="A358" s="160"/>
      <c r="B358" s="160"/>
      <c r="C358" s="160"/>
      <c r="D358" s="245"/>
      <c r="E358" s="245"/>
    </row>
    <row r="359" spans="1:5" ht="1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ht="1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ht="1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ht="15">
      <c r="A362" s="168"/>
      <c r="B362" s="164"/>
      <c r="C362" s="168"/>
      <c r="D362" s="247"/>
      <c r="E362" s="247"/>
    </row>
    <row r="363" spans="1:5" ht="1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ht="1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ht="1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ht="1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ht="1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ht="1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ht="1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ht="1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ht="1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ht="15">
      <c r="A372" s="168"/>
      <c r="B372" s="164"/>
      <c r="C372" s="168"/>
      <c r="D372" s="247"/>
      <c r="E372" s="247"/>
    </row>
    <row r="373" spans="1:5" ht="1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ht="1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ht="1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ht="1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ht="1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ht="1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ht="1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ht="1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ht="1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ht="1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ht="1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ht="15">
      <c r="A384" s="168"/>
      <c r="B384" s="164"/>
      <c r="C384" s="163"/>
      <c r="D384" s="247"/>
      <c r="E384" s="247"/>
    </row>
    <row r="385" spans="1:5" ht="1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ht="1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priority="5" dxfId="34"/>
  </conditionalFormatting>
  <conditionalFormatting sqref="A139">
    <cfRule type="duplicateValues" priority="4" dxfId="34"/>
  </conditionalFormatting>
  <conditionalFormatting sqref="A304">
    <cfRule type="duplicateValues" priority="3" dxfId="34"/>
  </conditionalFormatting>
  <conditionalFormatting sqref="A305">
    <cfRule type="duplicateValues" priority="2" dxfId="34"/>
  </conditionalFormatting>
  <conditionalFormatting sqref="I303">
    <cfRule type="duplicateValues" priority="1" dxfId="34"/>
  </conditionalFormatting>
  <pageMargins left="1" right="1" top="1" bottom="1" header="0.5" footer="0.5"/>
  <pageSetup fitToHeight="6" orientation="portrait" paperSize="9" scale="73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4:F100"/>
  <sheetViews>
    <sheetView tabSelected="1" workbookViewId="0" topLeftCell="A1">
      <selection pane="topLeft" activeCell="D8" sqref="D8"/>
    </sheetView>
  </sheetViews>
  <sheetFormatPr defaultColWidth="11.424285714285714" defaultRowHeight="15"/>
  <cols>
    <col min="1" max="1" width="9.857142857142858" bestFit="1" customWidth="1"/>
    <col min="2" max="2" width="64.28571428571429" bestFit="1" customWidth="1"/>
    <col min="3" max="3" width="9.571428571428571" bestFit="1" customWidth="1"/>
    <col min="4" max="4" width="13.571428571428571" style="87" bestFit="1" customWidth="1"/>
    <col min="5" max="5" width="13.142857142857142" customWidth="1"/>
    <col min="6" max="6" width="11.428571428571429" bestFit="1" customWidth="1"/>
  </cols>
  <sheetData>
    <row r="4" spans="2:2" ht="21">
      <c r="B4" s="217"/>
    </row>
    <row r="6" spans="1:6" ht="30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>
      <c r="A7" s="221" t="s">
        <v>553</v>
      </c>
      <c r="B7" s="222" t="s">
        <v>2052</v>
      </c>
      <c r="C7" s="223">
        <v>30</v>
      </c>
      <c r="D7" s="224">
        <v>300</v>
      </c>
      <c r="E7" s="224">
        <v>128</v>
      </c>
      <c r="F7" s="225">
        <f>+D7/C7</f>
        <v>10</v>
      </c>
    </row>
    <row r="8" spans="1:6" ht="15.75">
      <c r="A8" s="226" t="s">
        <v>2053</v>
      </c>
      <c r="B8" s="222" t="s">
        <v>2054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>
      <c r="A9" s="226" t="s">
        <v>2055</v>
      </c>
      <c r="B9" s="222" t="s">
        <v>2056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>
      <c r="A10" s="226"/>
      <c r="B10" s="222"/>
      <c r="C10" s="223"/>
      <c r="D10" s="224"/>
      <c r="E10" s="224"/>
      <c r="F10" s="225"/>
    </row>
    <row r="11" spans="1:6" ht="15.7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>
      <c r="A14" s="226"/>
      <c r="B14" s="227"/>
      <c r="C14" s="222"/>
      <c r="D14" s="224"/>
      <c r="E14" s="224"/>
      <c r="F14" s="225"/>
    </row>
    <row r="15" spans="1:6" ht="15.7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>
      <c r="A18" s="226"/>
      <c r="B18" s="222"/>
      <c r="C18" s="222"/>
      <c r="D18" s="224"/>
      <c r="E18" s="228"/>
      <c r="F18" s="228"/>
    </row>
    <row r="19" spans="1:6" ht="15.7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>
      <c r="A22" s="226"/>
      <c r="B22" s="229"/>
      <c r="C22" s="222"/>
      <c r="D22" s="224"/>
      <c r="E22" s="224"/>
      <c r="F22" s="225"/>
    </row>
    <row r="23" spans="1:6" ht="15.7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si="0" ref="F23:F25">+D23/C23</f>
        <v>1.6738033448673586</v>
      </c>
    </row>
    <row r="24" spans="1:6" ht="15.7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>
      <c r="A26" s="226"/>
      <c r="B26" s="229"/>
      <c r="C26" s="222"/>
      <c r="D26" s="224"/>
      <c r="E26" s="224"/>
      <c r="F26" s="225"/>
    </row>
    <row r="27" spans="1:6" ht="15.7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>
      <c r="A28" s="230"/>
      <c r="B28" s="231"/>
      <c r="C28" s="222"/>
      <c r="D28" s="224"/>
      <c r="E28" s="224"/>
      <c r="F28" s="225"/>
    </row>
    <row r="29" spans="1:6" ht="15.75">
      <c r="A29" s="228"/>
      <c r="B29" s="232" t="s">
        <v>2067</v>
      </c>
      <c r="C29" s="228"/>
      <c r="D29" s="233"/>
      <c r="E29" s="228"/>
      <c r="F29" s="228"/>
    </row>
    <row r="30" spans="1:6" ht="15.7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si="1" ref="F30:F44">+D30/C30</f>
        <v>1.8309729575163396</v>
      </c>
    </row>
    <row r="31" spans="1:6" ht="15.7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>
      <c r="A45" s="226"/>
      <c r="B45" s="222"/>
      <c r="C45" s="222"/>
      <c r="D45" s="224"/>
      <c r="E45" s="228"/>
      <c r="F45" s="228"/>
    </row>
    <row r="46" spans="1:6" ht="15.7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si="2" ref="F46:F57">+D46/C46</f>
        <v>1.8448191176470587</v>
      </c>
    </row>
    <row r="47" spans="1:6" ht="15.7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>
      <c r="A58" s="226"/>
      <c r="B58" s="222"/>
      <c r="C58" s="222"/>
      <c r="D58" s="224"/>
      <c r="E58" s="228"/>
      <c r="F58" s="228"/>
    </row>
    <row r="59" spans="1:6" ht="15.75">
      <c r="A59" s="226"/>
      <c r="B59" s="222"/>
      <c r="C59" s="222"/>
      <c r="D59" s="224"/>
      <c r="E59" s="228"/>
      <c r="F59" s="228"/>
    </row>
    <row r="60" spans="1:6" ht="15.7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si="3" ref="F60:F62">+D60/C60</f>
        <v>2.4800427389705884</v>
      </c>
    </row>
    <row r="61" spans="1:6" ht="15.7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>
      <c r="A63" s="226"/>
      <c r="B63" s="222"/>
      <c r="C63" s="222"/>
      <c r="D63" s="224"/>
      <c r="E63" s="224"/>
      <c r="F63" s="234"/>
    </row>
    <row r="64" spans="1:6" ht="15.7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si="4" ref="F64:F66">+D64/C64</f>
        <v>2.5997118566176471</v>
      </c>
    </row>
    <row r="65" spans="1:6" ht="15.7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>
      <c r="A67" s="226"/>
      <c r="B67" s="222"/>
      <c r="C67" s="222"/>
      <c r="D67" s="224"/>
      <c r="E67" s="224"/>
      <c r="F67" s="234"/>
    </row>
    <row r="68" spans="1:6" ht="15.7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si="5" ref="F68:F70">+D68/C68</f>
        <v>2.7592706801470595</v>
      </c>
    </row>
    <row r="69" spans="1:6" ht="15.7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>
      <c r="A71" s="235"/>
      <c r="B71" s="236"/>
      <c r="C71" s="236"/>
      <c r="D71" s="357"/>
      <c r="E71" s="357"/>
      <c r="F71" s="358"/>
    </row>
    <row r="72" spans="1:6" ht="15.7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si="6" ref="F72:F74">+D72/C72</f>
        <v>1.1169117647058824</v>
      </c>
    </row>
    <row r="73" spans="1:6" ht="15.7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>
      <c r="A75" s="235"/>
      <c r="B75" s="236"/>
      <c r="C75" s="236"/>
      <c r="D75" s="357"/>
      <c r="E75" s="357"/>
      <c r="F75" s="358"/>
    </row>
    <row r="76" spans="1:6" ht="15.7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si="7" ref="F76:F78">+D76/C76</f>
        <v>1.1052107843137253</v>
      </c>
    </row>
    <row r="77" spans="1:6" ht="15.7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>
      <c r="A79" s="235"/>
      <c r="B79" s="236"/>
      <c r="C79" s="236"/>
      <c r="D79" s="357"/>
      <c r="E79" s="357"/>
      <c r="F79" s="358"/>
    </row>
    <row r="80" spans="1:6" ht="15.7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si="8" ref="F80:F83">+D80/C80</f>
        <v>0.64663312693498454</v>
      </c>
    </row>
    <row r="81" spans="1:6" ht="15.7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>
      <c r="A84" s="235"/>
      <c r="B84" s="236"/>
      <c r="C84" s="236"/>
      <c r="D84" s="237"/>
      <c r="E84" s="238"/>
      <c r="F84" s="238"/>
    </row>
    <row r="85" spans="1:6" ht="15.75">
      <c r="A85" s="235"/>
      <c r="B85" s="239" t="s">
        <v>2068</v>
      </c>
      <c r="C85" s="236"/>
      <c r="D85" s="237"/>
      <c r="E85" s="238"/>
      <c r="F85" s="238"/>
    </row>
    <row r="86" spans="1:6" ht="15.75">
      <c r="A86" s="238"/>
      <c r="B86" s="238"/>
      <c r="C86" s="238"/>
      <c r="D86" s="237"/>
      <c r="E86" s="238"/>
      <c r="F86" s="238"/>
    </row>
    <row r="87" spans="1:6" ht="31.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>
      <c r="A94" s="238"/>
      <c r="B94" s="238"/>
      <c r="C94" s="238"/>
      <c r="D94" s="237"/>
      <c r="E94" s="238"/>
      <c r="F94" s="238"/>
    </row>
    <row r="95" spans="1:6" ht="15.7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5" ht="15.7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priority="4" dxfId="34"/>
  </conditionalFormatting>
  <pageMargins left="0.7" right="0.7" top="0.75" bottom="0.75" header="0.3" footer="0.3"/>
  <pageSetup fitToHeight="2" horizontalDpi="360" verticalDpi="360" orientation="portrait" paperSize="9" scale="72" r:id="rId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517"/>
  <sheetViews>
    <sheetView workbookViewId="0" topLeftCell="A141">
      <selection pane="topLeft" activeCell="A338" sqref="A338:F389"/>
    </sheetView>
  </sheetViews>
  <sheetFormatPr defaultColWidth="8.714285714285714" defaultRowHeight="15"/>
  <cols>
    <col min="1" max="1" width="13.571428571428571" style="83" bestFit="1" customWidth="1"/>
    <col min="2" max="2" width="63.57142857142857" customWidth="1"/>
    <col min="3" max="3" width="9.428571428571429" customWidth="1"/>
    <col min="4" max="4" width="11.857142857142858" style="56" bestFit="1" customWidth="1"/>
    <col min="5" max="5" width="7.142857142857143" style="56" bestFit="1" customWidth="1"/>
    <col min="6" max="6" width="10.428571428571429" style="56" bestFit="1" customWidth="1"/>
  </cols>
  <sheetData>
    <row r="1" spans="1:1" ht="15">
      <c r="A1" s="83">
        <v>11</v>
      </c>
    </row>
    <row r="8" spans="1:1" ht="15">
      <c r="A8" s="83" t="s">
        <v>57</v>
      </c>
    </row>
    <row r="11" spans="2:4" ht="15">
      <c r="B11" t="s">
        <v>4</v>
      </c>
      <c r="C11" s="56">
        <v>1</v>
      </c>
      <c r="D11" s="56" t="s">
        <v>6</v>
      </c>
    </row>
    <row r="12" spans="2:4" ht="15">
      <c r="B12" t="s">
        <v>5</v>
      </c>
      <c r="C12" s="56">
        <v>1</v>
      </c>
      <c r="D12" s="56" t="s">
        <v>7</v>
      </c>
    </row>
    <row r="15" spans="1:6" ht="1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thickBot="1">
      <c r="A16" s="83" t="s">
        <v>1837</v>
      </c>
      <c r="B16" s="153" t="s">
        <v>12</v>
      </c>
      <c r="F16" s="56">
        <f>SUBTOTAL(9,F17:F44)</f>
        <v>0</v>
      </c>
    </row>
    <row r="17" spans="1:6" ht="15" hidden="1" thickBot="1">
      <c r="A17" s="84"/>
      <c r="B17" s="17"/>
      <c r="C17" s="17"/>
      <c r="D17" s="274"/>
      <c r="E17" s="274"/>
      <c r="F17" s="275"/>
    </row>
    <row r="18" spans="1:6" ht="15" hidden="1">
      <c r="A18" s="85"/>
      <c r="B18" s="18"/>
      <c r="C18" s="18"/>
      <c r="D18" s="276"/>
      <c r="E18" s="276"/>
      <c r="F18" s="275"/>
    </row>
    <row r="19" spans="1:6" ht="15" hidden="1" thickBot="1">
      <c r="A19" s="85"/>
      <c r="B19" s="18"/>
      <c r="C19" s="18"/>
      <c r="D19" s="276"/>
      <c r="E19" s="276"/>
      <c r="F19" s="277"/>
    </row>
    <row r="20" spans="1:6" ht="15" hidden="1">
      <c r="A20" s="85"/>
      <c r="B20" s="18"/>
      <c r="C20" s="18"/>
      <c r="D20" s="276"/>
      <c r="E20" s="276"/>
      <c r="F20" s="275"/>
    </row>
    <row r="21" spans="1:6" ht="15" hidden="1">
      <c r="A21" s="85"/>
      <c r="B21" s="18"/>
      <c r="C21" s="18"/>
      <c r="D21" s="276"/>
      <c r="E21" s="276"/>
      <c r="F21" s="277"/>
    </row>
    <row r="22" spans="1:6" ht="15" hidden="1">
      <c r="A22" s="85"/>
      <c r="B22" s="18"/>
      <c r="C22" s="18"/>
      <c r="D22" s="276"/>
      <c r="E22" s="276"/>
      <c r="F22" s="277"/>
    </row>
    <row r="23" spans="1:6" ht="15" hidden="1">
      <c r="A23" s="85"/>
      <c r="B23" s="18"/>
      <c r="C23" s="18"/>
      <c r="D23" s="276"/>
      <c r="E23" s="18"/>
      <c r="F23" s="277"/>
    </row>
    <row r="24" spans="1:6" ht="15" hidden="1">
      <c r="A24" s="85"/>
      <c r="B24" s="18"/>
      <c r="C24" s="18"/>
      <c r="D24" s="276"/>
      <c r="E24" s="18"/>
      <c r="F24" s="277"/>
    </row>
    <row r="25" spans="1:6" ht="15" hidden="1">
      <c r="A25" s="85"/>
      <c r="B25" s="18"/>
      <c r="C25" s="18"/>
      <c r="D25" s="276"/>
      <c r="E25" s="18"/>
      <c r="F25" s="277"/>
    </row>
    <row r="26" spans="1:6" ht="15" hidden="1">
      <c r="A26" s="85"/>
      <c r="B26" s="18"/>
      <c r="C26" s="18"/>
      <c r="D26" s="276"/>
      <c r="E26" s="18"/>
      <c r="F26" s="277"/>
    </row>
    <row r="27" spans="1:6" ht="15" hidden="1">
      <c r="A27" s="85"/>
      <c r="B27" s="18"/>
      <c r="C27" s="18"/>
      <c r="D27" s="276"/>
      <c r="E27" s="18"/>
      <c r="F27" s="277"/>
    </row>
    <row r="28" spans="1:6" ht="15" hidden="1">
      <c r="A28" s="85"/>
      <c r="B28" s="18"/>
      <c r="C28" s="18"/>
      <c r="D28" s="276"/>
      <c r="E28" s="18"/>
      <c r="F28" s="277"/>
    </row>
    <row r="29" spans="1:6" ht="15" hidden="1">
      <c r="A29" s="85"/>
      <c r="B29" s="18"/>
      <c r="C29" s="18"/>
      <c r="D29" s="276"/>
      <c r="E29" s="18"/>
      <c r="F29" s="277"/>
    </row>
    <row r="30" spans="1:6" ht="15" hidden="1">
      <c r="A30" s="85"/>
      <c r="B30" s="18"/>
      <c r="C30" s="18"/>
      <c r="D30" s="276"/>
      <c r="E30" s="18"/>
      <c r="F30" s="277"/>
    </row>
    <row r="31" spans="1:6" ht="15" hidden="1">
      <c r="A31" s="85"/>
      <c r="B31" s="18"/>
      <c r="C31" s="18"/>
      <c r="D31" s="276"/>
      <c r="E31" s="18"/>
      <c r="F31" s="277"/>
    </row>
    <row r="32" spans="1:6" ht="15" hidden="1">
      <c r="A32" s="85"/>
      <c r="B32" s="18"/>
      <c r="C32" s="18"/>
      <c r="D32" s="276"/>
      <c r="E32" s="18"/>
      <c r="F32" s="277"/>
    </row>
    <row r="33" spans="1:6" ht="15" hidden="1">
      <c r="A33" s="85"/>
      <c r="B33" s="18"/>
      <c r="C33" s="18"/>
      <c r="D33" s="276"/>
      <c r="E33" s="18"/>
      <c r="F33" s="277"/>
    </row>
    <row r="34" spans="1:6" ht="15" hidden="1">
      <c r="A34" s="85"/>
      <c r="B34" s="18"/>
      <c r="C34" s="18"/>
      <c r="D34" s="276"/>
      <c r="E34" s="18"/>
      <c r="F34" s="277"/>
    </row>
    <row r="35" spans="1:6" ht="15" hidden="1">
      <c r="A35" s="85"/>
      <c r="B35" s="18"/>
      <c r="C35" s="18"/>
      <c r="D35" s="276"/>
      <c r="E35" s="276"/>
      <c r="F35" s="277"/>
    </row>
    <row r="36" spans="1:6" ht="15" hidden="1">
      <c r="A36" s="85"/>
      <c r="B36" s="18"/>
      <c r="C36" s="18"/>
      <c r="D36" s="276"/>
      <c r="E36" s="276"/>
      <c r="F36" s="277"/>
    </row>
    <row r="37" spans="1:6" ht="15" hidden="1">
      <c r="A37" s="85"/>
      <c r="B37" s="18"/>
      <c r="C37" s="18"/>
      <c r="D37" s="276"/>
      <c r="E37" s="276"/>
      <c r="F37" s="277"/>
    </row>
    <row r="38" spans="1:6" ht="15" hidden="1">
      <c r="A38" s="85"/>
      <c r="B38" s="18"/>
      <c r="C38" s="18"/>
      <c r="D38" s="276"/>
      <c r="E38" s="276"/>
      <c r="F38" s="277"/>
    </row>
    <row r="39" spans="1:6" ht="15" hidden="1">
      <c r="A39" s="85"/>
      <c r="B39" s="18"/>
      <c r="C39" s="18"/>
      <c r="D39" s="276"/>
      <c r="E39" s="276"/>
      <c r="F39" s="277"/>
    </row>
    <row r="40" spans="1:6" ht="15" hidden="1">
      <c r="A40" s="85"/>
      <c r="B40" s="18"/>
      <c r="C40" s="18"/>
      <c r="D40" s="276"/>
      <c r="E40" s="276"/>
      <c r="F40" s="277"/>
    </row>
    <row r="41" spans="1:6" ht="15" hidden="1">
      <c r="A41" s="85"/>
      <c r="B41" s="18"/>
      <c r="C41" s="18"/>
      <c r="D41" s="276"/>
      <c r="E41" s="276"/>
      <c r="F41" s="277"/>
    </row>
    <row r="42" spans="1:6" ht="15" hidden="1">
      <c r="A42" s="85"/>
      <c r="B42" s="18"/>
      <c r="C42" s="18"/>
      <c r="D42" s="276"/>
      <c r="E42" s="276"/>
      <c r="F42" s="277"/>
    </row>
    <row r="43" spans="1:6" ht="15" hidden="1">
      <c r="A43" s="85"/>
      <c r="B43" s="18"/>
      <c r="C43" s="18"/>
      <c r="D43" s="276"/>
      <c r="E43" s="276"/>
      <c r="F43" s="277"/>
    </row>
    <row r="44" spans="1:6" ht="15.75" hidden="1" thickBot="1">
      <c r="A44" s="86"/>
      <c r="B44" s="19"/>
      <c r="C44" s="19"/>
      <c r="D44" s="278"/>
      <c r="E44" s="278"/>
      <c r="F44" s="279"/>
    </row>
    <row r="45" spans="1:6" ht="15">
      <c r="A45" s="88" t="s">
        <v>1837</v>
      </c>
      <c r="B45" s="438" t="s">
        <v>1825</v>
      </c>
      <c r="F45" s="280">
        <f>SUM(F46:F140)</f>
        <v>0</v>
      </c>
    </row>
    <row r="46" spans="1:6" ht="15" hidden="1">
      <c r="A46" s="85"/>
      <c r="B46" s="18"/>
      <c r="C46" s="18"/>
      <c r="D46" s="276"/>
      <c r="E46" s="276"/>
      <c r="F46" s="277"/>
    </row>
    <row r="47" spans="1:6" ht="15" hidden="1">
      <c r="A47" s="85"/>
      <c r="B47" s="18"/>
      <c r="C47" s="18"/>
      <c r="D47" s="276"/>
      <c r="E47" s="276"/>
      <c r="F47" s="277"/>
    </row>
    <row r="48" spans="1:6" ht="15" hidden="1">
      <c r="A48" s="85"/>
      <c r="B48" s="18"/>
      <c r="C48" s="18"/>
      <c r="D48" s="276"/>
      <c r="E48" s="276"/>
      <c r="F48" s="277"/>
    </row>
    <row r="49" spans="1:6" ht="15" hidden="1">
      <c r="A49" s="85"/>
      <c r="B49" s="18"/>
      <c r="C49" s="18"/>
      <c r="D49" s="276"/>
      <c r="E49" s="276"/>
      <c r="F49" s="277"/>
    </row>
    <row r="50" spans="1:6" ht="15" hidden="1">
      <c r="A50" s="85"/>
      <c r="B50" s="18"/>
      <c r="C50" s="18"/>
      <c r="D50" s="276"/>
      <c r="E50" s="276"/>
      <c r="F50" s="277"/>
    </row>
    <row r="51" spans="1:6" ht="15" hidden="1">
      <c r="A51" s="85"/>
      <c r="B51" s="18"/>
      <c r="C51" s="18"/>
      <c r="D51" s="276"/>
      <c r="E51" s="276"/>
      <c r="F51" s="277"/>
    </row>
    <row r="52" spans="1:6" ht="15" hidden="1">
      <c r="A52" s="85"/>
      <c r="B52" s="18"/>
      <c r="C52" s="18"/>
      <c r="D52" s="276"/>
      <c r="E52" s="276"/>
      <c r="F52" s="277"/>
    </row>
    <row r="53" spans="1:6" ht="15" hidden="1">
      <c r="A53" s="85"/>
      <c r="B53" s="18"/>
      <c r="C53" s="18"/>
      <c r="D53" s="276"/>
      <c r="E53" s="276"/>
      <c r="F53" s="277"/>
    </row>
    <row r="54" spans="1:6" ht="15" hidden="1">
      <c r="A54" s="85"/>
      <c r="B54" s="18"/>
      <c r="C54" s="18"/>
      <c r="D54" s="276"/>
      <c r="E54" s="276"/>
      <c r="F54" s="277"/>
    </row>
    <row r="55" spans="1:6" ht="15" hidden="1">
      <c r="A55" s="85"/>
      <c r="B55" s="18"/>
      <c r="C55" s="18"/>
      <c r="D55" s="276"/>
      <c r="E55" s="276"/>
      <c r="F55" s="277"/>
    </row>
    <row r="56" spans="1:6" ht="15" hidden="1">
      <c r="A56" s="85"/>
      <c r="B56" s="18"/>
      <c r="C56" s="18"/>
      <c r="D56" s="276"/>
      <c r="E56" s="276"/>
      <c r="F56" s="277"/>
    </row>
    <row r="57" spans="1:6" ht="15" hidden="1">
      <c r="A57" s="85"/>
      <c r="B57" s="18"/>
      <c r="C57" s="18"/>
      <c r="D57" s="276"/>
      <c r="E57" s="18"/>
      <c r="F57" s="277"/>
    </row>
    <row r="58" spans="1:6" ht="15" hidden="1">
      <c r="A58" s="85"/>
      <c r="B58" s="18"/>
      <c r="C58" s="18"/>
      <c r="D58" s="276"/>
      <c r="E58" s="18"/>
      <c r="F58" s="277"/>
    </row>
    <row r="59" spans="1:6" ht="15" hidden="1">
      <c r="A59" s="85"/>
      <c r="B59" s="18"/>
      <c r="C59" s="18"/>
      <c r="D59" s="276"/>
      <c r="E59" s="18"/>
      <c r="F59" s="277"/>
    </row>
    <row r="60" spans="1:6" ht="15" hidden="1">
      <c r="A60" s="85"/>
      <c r="B60" s="18"/>
      <c r="C60" s="18"/>
      <c r="D60" s="276"/>
      <c r="E60" s="18"/>
      <c r="F60" s="277"/>
    </row>
    <row r="61" spans="1:6" ht="15" hidden="1">
      <c r="A61" s="85"/>
      <c r="B61" s="18"/>
      <c r="C61" s="18"/>
      <c r="D61" s="276"/>
      <c r="E61" s="18"/>
      <c r="F61" s="277"/>
    </row>
    <row r="62" spans="1:6" ht="15" hidden="1">
      <c r="A62" s="85"/>
      <c r="B62" s="18"/>
      <c r="C62" s="18"/>
      <c r="D62" s="276"/>
      <c r="E62" s="18"/>
      <c r="F62" s="277"/>
    </row>
    <row r="63" spans="1:6" ht="15" hidden="1">
      <c r="A63" s="85"/>
      <c r="B63" s="18"/>
      <c r="C63" s="18"/>
      <c r="D63" s="276"/>
      <c r="E63" s="18"/>
      <c r="F63" s="277"/>
    </row>
    <row r="64" spans="1:6" ht="15" hidden="1">
      <c r="A64" s="85"/>
      <c r="B64" s="18"/>
      <c r="C64" s="18"/>
      <c r="D64" s="276"/>
      <c r="E64" s="18"/>
      <c r="F64" s="277"/>
    </row>
    <row r="65" spans="1:6" ht="15" hidden="1">
      <c r="A65" s="85"/>
      <c r="B65" s="18"/>
      <c r="C65" s="18"/>
      <c r="D65" s="276"/>
      <c r="E65" s="18"/>
      <c r="F65" s="277"/>
    </row>
    <row r="66" spans="1:6" ht="15" hidden="1">
      <c r="A66" s="85"/>
      <c r="B66" s="18"/>
      <c r="C66" s="18"/>
      <c r="D66" s="276"/>
      <c r="E66" s="18"/>
      <c r="F66" s="277"/>
    </row>
    <row r="67" spans="1:6" ht="15" hidden="1">
      <c r="A67" s="85"/>
      <c r="B67" s="18"/>
      <c r="C67" s="18"/>
      <c r="D67" s="276"/>
      <c r="E67" s="18"/>
      <c r="F67" s="277"/>
    </row>
    <row r="68" spans="1:6" ht="15" hidden="1">
      <c r="A68" s="85"/>
      <c r="B68" s="18"/>
      <c r="C68" s="18"/>
      <c r="D68" s="276"/>
      <c r="E68" s="18"/>
      <c r="F68" s="277"/>
    </row>
    <row r="69" spans="1:6" ht="15" hidden="1">
      <c r="A69" s="85"/>
      <c r="B69" s="18"/>
      <c r="C69" s="18"/>
      <c r="D69" s="276"/>
      <c r="E69" s="18"/>
      <c r="F69" s="277"/>
    </row>
    <row r="70" spans="1:6" ht="15" hidden="1">
      <c r="A70" s="85"/>
      <c r="B70" s="18"/>
      <c r="C70" s="18"/>
      <c r="D70" s="276"/>
      <c r="E70" s="18"/>
      <c r="F70" s="277"/>
    </row>
    <row r="71" spans="1:6" ht="15" hidden="1">
      <c r="A71" s="85"/>
      <c r="B71" s="18"/>
      <c r="C71" s="18"/>
      <c r="D71" s="276"/>
      <c r="E71" s="18"/>
      <c r="F71" s="277"/>
    </row>
    <row r="72" spans="1:6" ht="15" hidden="1">
      <c r="A72" s="85"/>
      <c r="B72" s="18"/>
      <c r="C72" s="18"/>
      <c r="D72" s="276"/>
      <c r="E72" s="18"/>
      <c r="F72" s="277"/>
    </row>
    <row r="73" spans="1:6" ht="15" hidden="1">
      <c r="A73" s="85"/>
      <c r="B73" s="18"/>
      <c r="C73" s="18"/>
      <c r="D73" s="276"/>
      <c r="E73" s="18"/>
      <c r="F73" s="277"/>
    </row>
    <row r="74" spans="1:6" ht="15" hidden="1">
      <c r="A74" s="85"/>
      <c r="B74" s="18"/>
      <c r="C74" s="18"/>
      <c r="D74" s="276"/>
      <c r="E74" s="18"/>
      <c r="F74" s="277"/>
    </row>
    <row r="75" spans="1:6" ht="15" hidden="1">
      <c r="A75" s="85"/>
      <c r="B75" s="18"/>
      <c r="C75" s="18"/>
      <c r="D75" s="276"/>
      <c r="E75" s="18"/>
      <c r="F75" s="277"/>
    </row>
    <row r="76" spans="1:6" ht="15" hidden="1">
      <c r="A76" s="85"/>
      <c r="B76" s="18"/>
      <c r="C76" s="18"/>
      <c r="D76" s="276"/>
      <c r="E76" s="18"/>
      <c r="F76" s="277"/>
    </row>
    <row r="77" spans="1:6" ht="15" hidden="1">
      <c r="A77" s="85"/>
      <c r="B77" s="18"/>
      <c r="C77" s="18"/>
      <c r="D77" s="276"/>
      <c r="E77" s="18"/>
      <c r="F77" s="277"/>
    </row>
    <row r="78" spans="1:6" ht="15" hidden="1">
      <c r="A78" s="85"/>
      <c r="B78" s="18"/>
      <c r="C78" s="18"/>
      <c r="D78" s="276"/>
      <c r="E78" s="276"/>
      <c r="F78" s="277"/>
    </row>
    <row r="79" spans="1:6" ht="15" hidden="1">
      <c r="A79" s="85"/>
      <c r="B79" s="18"/>
      <c r="C79" s="18"/>
      <c r="D79" s="276"/>
      <c r="E79" s="276"/>
      <c r="F79" s="277"/>
    </row>
    <row r="80" spans="1:6" ht="15" hidden="1">
      <c r="A80" s="85"/>
      <c r="B80" s="18"/>
      <c r="C80" s="18"/>
      <c r="D80" s="276"/>
      <c r="E80" s="276"/>
      <c r="F80" s="277"/>
    </row>
    <row r="81" spans="1:6" ht="15" hidden="1">
      <c r="A81" s="85"/>
      <c r="B81" s="18"/>
      <c r="C81" s="18"/>
      <c r="D81" s="276"/>
      <c r="E81" s="276"/>
      <c r="F81" s="277"/>
    </row>
    <row r="82" spans="1:6" ht="15" hidden="1">
      <c r="A82" s="85"/>
      <c r="B82" s="18"/>
      <c r="C82" s="18"/>
      <c r="D82" s="276"/>
      <c r="E82" s="276"/>
      <c r="F82" s="277"/>
    </row>
    <row r="83" spans="1:6" ht="15" hidden="1">
      <c r="A83" s="85"/>
      <c r="B83" s="18"/>
      <c r="C83" s="18"/>
      <c r="D83" s="276"/>
      <c r="E83" s="18"/>
      <c r="F83" s="277"/>
    </row>
    <row r="84" spans="1:6" ht="15" hidden="1">
      <c r="A84" s="85"/>
      <c r="B84" s="18"/>
      <c r="C84" s="18"/>
      <c r="D84" s="276"/>
      <c r="E84" s="18"/>
      <c r="F84" s="277"/>
    </row>
    <row r="85" spans="1:6" ht="15" hidden="1">
      <c r="A85" s="85"/>
      <c r="B85" s="18"/>
      <c r="C85" s="18"/>
      <c r="D85" s="276"/>
      <c r="E85" s="18"/>
      <c r="F85" s="277"/>
    </row>
    <row r="86" spans="1:6" ht="15" hidden="1">
      <c r="A86" s="85"/>
      <c r="B86" s="18"/>
      <c r="C86" s="18"/>
      <c r="D86" s="276"/>
      <c r="E86" s="18"/>
      <c r="F86" s="277"/>
    </row>
    <row r="87" spans="1:6" ht="15" hidden="1">
      <c r="A87" s="85"/>
      <c r="B87" s="18"/>
      <c r="C87" s="18"/>
      <c r="D87" s="276"/>
      <c r="E87" s="18"/>
      <c r="F87" s="277"/>
    </row>
    <row r="88" spans="1:6" ht="15" hidden="1">
      <c r="A88" s="85"/>
      <c r="B88" s="18"/>
      <c r="C88" s="18"/>
      <c r="D88" s="276"/>
      <c r="E88" s="18"/>
      <c r="F88" s="277"/>
    </row>
    <row r="89" spans="1:6" ht="15" hidden="1">
      <c r="A89" s="85"/>
      <c r="B89" s="18"/>
      <c r="C89" s="18"/>
      <c r="D89" s="276"/>
      <c r="E89" s="18"/>
      <c r="F89" s="277"/>
    </row>
    <row r="90" spans="1:6" ht="15" hidden="1">
      <c r="A90" s="85"/>
      <c r="B90" s="18"/>
      <c r="C90" s="18"/>
      <c r="D90" s="276"/>
      <c r="E90" s="18"/>
      <c r="F90" s="277"/>
    </row>
    <row r="91" spans="1:6" ht="15" hidden="1">
      <c r="A91" s="85"/>
      <c r="B91" s="18"/>
      <c r="C91" s="18"/>
      <c r="D91" s="276"/>
      <c r="E91" s="18"/>
      <c r="F91" s="277"/>
    </row>
    <row r="92" spans="1:6" ht="15" hidden="1">
      <c r="A92" s="85"/>
      <c r="B92" s="18"/>
      <c r="C92" s="18"/>
      <c r="D92" s="276"/>
      <c r="E92" s="18"/>
      <c r="F92" s="277"/>
    </row>
    <row r="93" spans="1:6" ht="15" hidden="1">
      <c r="A93" s="85"/>
      <c r="B93" s="18"/>
      <c r="C93" s="18"/>
      <c r="D93" s="276"/>
      <c r="E93" s="18"/>
      <c r="F93" s="277"/>
    </row>
    <row r="94" spans="1:6" ht="15" hidden="1">
      <c r="A94" s="85"/>
      <c r="B94" s="18"/>
      <c r="C94" s="18"/>
      <c r="D94" s="276"/>
      <c r="E94" s="18"/>
      <c r="F94" s="277"/>
    </row>
    <row r="95" spans="1:6" ht="15" hidden="1">
      <c r="A95" s="85"/>
      <c r="B95" s="18"/>
      <c r="C95" s="18"/>
      <c r="D95" s="276"/>
      <c r="E95" s="18"/>
      <c r="F95" s="277"/>
    </row>
    <row r="96" spans="1:6" ht="15" hidden="1">
      <c r="A96" s="85"/>
      <c r="B96" s="18"/>
      <c r="C96" s="18"/>
      <c r="D96" s="276"/>
      <c r="E96" s="18"/>
      <c r="F96" s="277"/>
    </row>
    <row r="97" spans="1:6" ht="15" hidden="1">
      <c r="A97" s="85"/>
      <c r="B97" s="18"/>
      <c r="C97" s="18"/>
      <c r="D97" s="276"/>
      <c r="E97" s="18"/>
      <c r="F97" s="277"/>
    </row>
    <row r="98" spans="1:6" ht="15" hidden="1">
      <c r="A98" s="85"/>
      <c r="B98" s="18"/>
      <c r="C98" s="18"/>
      <c r="D98" s="276"/>
      <c r="E98" s="18"/>
      <c r="F98" s="277"/>
    </row>
    <row r="99" spans="1:6" ht="15" hidden="1">
      <c r="A99" s="85"/>
      <c r="B99" s="18"/>
      <c r="C99" s="18"/>
      <c r="D99" s="276"/>
      <c r="E99" s="18"/>
      <c r="F99" s="277"/>
    </row>
    <row r="100" spans="1:6" ht="15" hidden="1">
      <c r="A100" s="85"/>
      <c r="B100" s="18"/>
      <c r="C100" s="18"/>
      <c r="D100" s="276"/>
      <c r="E100" s="18"/>
      <c r="F100" s="277"/>
    </row>
    <row r="101" spans="1:6" ht="15" hidden="1">
      <c r="A101" s="85"/>
      <c r="B101" s="18"/>
      <c r="C101" s="18"/>
      <c r="D101" s="276"/>
      <c r="E101" s="18"/>
      <c r="F101" s="277"/>
    </row>
    <row r="102" spans="1:6" ht="15" hidden="1">
      <c r="A102" s="85"/>
      <c r="B102" s="18"/>
      <c r="C102" s="18"/>
      <c r="D102" s="276"/>
      <c r="E102" s="18"/>
      <c r="F102" s="277"/>
    </row>
    <row r="103" spans="1:6" ht="15" hidden="1">
      <c r="A103" s="85"/>
      <c r="B103" s="18"/>
      <c r="C103" s="18"/>
      <c r="D103" s="276"/>
      <c r="E103" s="18"/>
      <c r="F103" s="277"/>
    </row>
    <row r="104" spans="1:6" ht="15" hidden="1">
      <c r="A104" s="85"/>
      <c r="B104" s="18"/>
      <c r="C104" s="18"/>
      <c r="D104" s="276"/>
      <c r="E104" s="18"/>
      <c r="F104" s="277"/>
    </row>
    <row r="105" spans="1:6" ht="15" hidden="1">
      <c r="A105" s="85"/>
      <c r="B105" s="18"/>
      <c r="C105" s="18"/>
      <c r="D105" s="276"/>
      <c r="E105" s="18"/>
      <c r="F105" s="277"/>
    </row>
    <row r="106" spans="1:6" ht="15" hidden="1">
      <c r="A106" s="85"/>
      <c r="B106" s="18"/>
      <c r="C106" s="18"/>
      <c r="D106" s="276"/>
      <c r="E106" s="18"/>
      <c r="F106" s="277"/>
    </row>
    <row r="107" spans="1:6" ht="15" hidden="1">
      <c r="A107" s="85"/>
      <c r="B107" s="18"/>
      <c r="C107" s="18"/>
      <c r="D107" s="276"/>
      <c r="E107" s="18"/>
      <c r="F107" s="277"/>
    </row>
    <row r="108" spans="1:6" ht="15" hidden="1">
      <c r="A108" s="85"/>
      <c r="B108" s="18"/>
      <c r="C108" s="18"/>
      <c r="D108" s="276"/>
      <c r="E108" s="18"/>
      <c r="F108" s="277"/>
    </row>
    <row r="109" spans="1:6" ht="15" hidden="1">
      <c r="A109" s="85"/>
      <c r="B109" s="18"/>
      <c r="C109" s="18"/>
      <c r="D109" s="276"/>
      <c r="E109" s="18"/>
      <c r="F109" s="277"/>
    </row>
    <row r="110" spans="1:6" ht="15" hidden="1">
      <c r="A110" s="85"/>
      <c r="B110" s="18"/>
      <c r="C110" s="18"/>
      <c r="D110" s="276"/>
      <c r="E110" s="18"/>
      <c r="F110" s="277"/>
    </row>
    <row r="111" spans="1:6" ht="15" hidden="1">
      <c r="A111" s="85"/>
      <c r="B111" s="18"/>
      <c r="C111" s="18"/>
      <c r="D111" s="276"/>
      <c r="E111" s="18"/>
      <c r="F111" s="277"/>
    </row>
    <row r="112" spans="1:6" ht="15" hidden="1">
      <c r="A112" s="85"/>
      <c r="B112" s="18"/>
      <c r="C112" s="18"/>
      <c r="D112" s="276"/>
      <c r="E112" s="18"/>
      <c r="F112" s="277"/>
    </row>
    <row r="113" spans="1:6" ht="15" hidden="1">
      <c r="A113" s="85"/>
      <c r="B113" s="18"/>
      <c r="C113" s="18"/>
      <c r="D113" s="276"/>
      <c r="E113" s="18"/>
      <c r="F113" s="277"/>
    </row>
    <row r="114" spans="1:6" ht="15" hidden="1">
      <c r="A114" s="85"/>
      <c r="B114" s="18"/>
      <c r="C114" s="18"/>
      <c r="D114" s="276"/>
      <c r="E114" s="18"/>
      <c r="F114" s="277"/>
    </row>
    <row r="115" spans="1:6" ht="15" hidden="1">
      <c r="A115" s="85"/>
      <c r="B115" s="18"/>
      <c r="C115" s="18"/>
      <c r="D115" s="276"/>
      <c r="E115" s="18"/>
      <c r="F115" s="277"/>
    </row>
    <row r="116" spans="1:6" ht="15" hidden="1">
      <c r="A116" s="85"/>
      <c r="B116" s="18"/>
      <c r="C116" s="18"/>
      <c r="D116" s="276"/>
      <c r="E116" s="18"/>
      <c r="F116" s="277"/>
    </row>
    <row r="117" spans="1:6" ht="15" hidden="1">
      <c r="A117" s="85"/>
      <c r="B117" s="18"/>
      <c r="C117" s="18"/>
      <c r="D117" s="276"/>
      <c r="E117" s="18"/>
      <c r="F117" s="277"/>
    </row>
    <row r="118" spans="1:6" ht="15" hidden="1">
      <c r="A118" s="85"/>
      <c r="B118" s="18"/>
      <c r="C118" s="18"/>
      <c r="D118" s="276"/>
      <c r="E118" s="18"/>
      <c r="F118" s="277"/>
    </row>
    <row r="119" spans="1:6" ht="15" hidden="1">
      <c r="A119" s="85"/>
      <c r="B119" s="18"/>
      <c r="C119" s="18"/>
      <c r="D119" s="276"/>
      <c r="E119" s="18"/>
      <c r="F119" s="277"/>
    </row>
    <row r="120" spans="1:6" ht="15" hidden="1">
      <c r="A120" s="85"/>
      <c r="B120" s="18"/>
      <c r="C120" s="18"/>
      <c r="D120" s="276"/>
      <c r="E120" s="18"/>
      <c r="F120" s="277"/>
    </row>
    <row r="121" spans="1:6" ht="15" hidden="1">
      <c r="A121" s="85"/>
      <c r="B121" s="18"/>
      <c r="C121" s="18"/>
      <c r="D121" s="276"/>
      <c r="E121" s="18"/>
      <c r="F121" s="277"/>
    </row>
    <row r="122" spans="1:6" ht="15" hidden="1">
      <c r="A122" s="85"/>
      <c r="B122" s="18"/>
      <c r="C122" s="18"/>
      <c r="D122" s="276"/>
      <c r="E122" s="276"/>
      <c r="F122" s="277"/>
    </row>
    <row r="123" spans="1:6" ht="15" hidden="1">
      <c r="A123" s="85"/>
      <c r="B123" s="18"/>
      <c r="C123" s="18"/>
      <c r="D123" s="276"/>
      <c r="E123" s="276"/>
      <c r="F123" s="277"/>
    </row>
    <row r="124" spans="1:6" ht="15" hidden="1">
      <c r="A124" s="85"/>
      <c r="B124" s="18"/>
      <c r="C124" s="18"/>
      <c r="D124" s="276"/>
      <c r="E124" s="276"/>
      <c r="F124" s="277"/>
    </row>
    <row r="125" spans="1:6" ht="15" hidden="1">
      <c r="A125" s="85"/>
      <c r="B125" s="18"/>
      <c r="C125" s="18"/>
      <c r="D125" s="276"/>
      <c r="E125" s="276"/>
      <c r="F125" s="277"/>
    </row>
    <row r="126" spans="1:6" ht="15" hidden="1">
      <c r="A126" s="85"/>
      <c r="B126" s="18"/>
      <c r="C126" s="18"/>
      <c r="D126" s="276"/>
      <c r="E126" s="276"/>
      <c r="F126" s="277"/>
    </row>
    <row r="127" spans="1:6" ht="15" hidden="1">
      <c r="A127" s="85"/>
      <c r="B127" s="18"/>
      <c r="C127" s="18"/>
      <c r="D127" s="276"/>
      <c r="E127" s="276"/>
      <c r="F127" s="277"/>
    </row>
    <row r="128" spans="1:6" ht="15" hidden="1">
      <c r="A128" s="85"/>
      <c r="B128" s="18"/>
      <c r="C128" s="18"/>
      <c r="D128" s="276"/>
      <c r="E128" s="276"/>
      <c r="F128" s="277"/>
    </row>
    <row r="129" spans="1:6" ht="15" hidden="1">
      <c r="A129" s="85"/>
      <c r="B129" s="18"/>
      <c r="C129" s="18"/>
      <c r="D129" s="276"/>
      <c r="E129" s="276"/>
      <c r="F129" s="277"/>
    </row>
    <row r="130" spans="1:6" ht="15" hidden="1">
      <c r="A130" s="85"/>
      <c r="B130" s="18"/>
      <c r="C130" s="18"/>
      <c r="D130" s="276"/>
      <c r="E130" s="276"/>
      <c r="F130" s="277"/>
    </row>
    <row r="131" spans="1:6" ht="15" hidden="1">
      <c r="A131" s="85"/>
      <c r="B131" s="18"/>
      <c r="C131" s="18"/>
      <c r="D131" s="276"/>
      <c r="E131" s="276"/>
      <c r="F131" s="277"/>
    </row>
    <row r="132" spans="1:6" ht="15" hidden="1">
      <c r="A132" s="85"/>
      <c r="B132" s="18"/>
      <c r="C132" s="18"/>
      <c r="D132" s="276"/>
      <c r="E132" s="276"/>
      <c r="F132" s="277"/>
    </row>
    <row r="133" spans="1:6" ht="15" hidden="1">
      <c r="A133" s="85"/>
      <c r="B133" s="18"/>
      <c r="C133" s="18"/>
      <c r="D133" s="276"/>
      <c r="E133" s="276"/>
      <c r="F133" s="277"/>
    </row>
    <row r="134" spans="1:6" ht="15" hidden="1">
      <c r="A134" s="85"/>
      <c r="B134" s="18"/>
      <c r="C134" s="18"/>
      <c r="D134" s="276"/>
      <c r="E134" s="276"/>
      <c r="F134" s="277"/>
    </row>
    <row r="135" spans="1:6" ht="15" hidden="1">
      <c r="A135" s="82"/>
      <c r="B135" s="18"/>
      <c r="C135" s="18"/>
      <c r="D135" s="276"/>
      <c r="E135" s="276"/>
      <c r="F135" s="276"/>
    </row>
    <row r="136" spans="1:6" ht="15" hidden="1">
      <c r="A136" s="82"/>
      <c r="B136" s="18"/>
      <c r="C136" s="18"/>
      <c r="D136" s="276"/>
      <c r="E136" s="276"/>
      <c r="F136" s="276"/>
    </row>
    <row r="137" spans="1:6" ht="15" hidden="1">
      <c r="A137" s="82"/>
      <c r="B137" s="18"/>
      <c r="C137" s="18"/>
      <c r="D137" s="276"/>
      <c r="E137" s="276"/>
      <c r="F137" s="276"/>
    </row>
    <row r="138" spans="1:6" ht="15" hidden="1">
      <c r="A138" s="82"/>
      <c r="B138" s="18"/>
      <c r="C138" s="18"/>
      <c r="D138" s="276"/>
      <c r="E138" s="276"/>
      <c r="F138" s="276"/>
    </row>
    <row r="139" spans="1:6" ht="15" hidden="1">
      <c r="A139" s="82"/>
      <c r="B139" s="18"/>
      <c r="C139" s="18"/>
      <c r="D139" s="276"/>
      <c r="E139" s="276"/>
      <c r="F139" s="276"/>
    </row>
    <row r="140" spans="1:6" ht="15" hidden="1">
      <c r="A140" s="82"/>
      <c r="B140" s="18"/>
      <c r="C140" s="18"/>
      <c r="D140" s="276"/>
      <c r="E140" s="276"/>
      <c r="F140" s="276"/>
    </row>
    <row r="141" spans="1:6" ht="15">
      <c r="A141" s="88" t="s">
        <v>1837</v>
      </c>
      <c r="B141" s="439" t="s">
        <v>2266</v>
      </c>
      <c r="F141" s="280">
        <f>SUM(F142:F151)</f>
        <v>0</v>
      </c>
    </row>
    <row r="142" spans="1:6" ht="15" hidden="1">
      <c r="A142" s="89"/>
      <c r="B142" s="18"/>
      <c r="C142" s="18"/>
      <c r="D142" s="276"/>
      <c r="E142" s="276"/>
      <c r="F142" s="277"/>
    </row>
    <row r="143" spans="1:6" ht="15" hidden="1">
      <c r="A143" s="89"/>
      <c r="B143" s="18"/>
      <c r="C143" s="18"/>
      <c r="D143" s="276"/>
      <c r="E143" s="276"/>
      <c r="F143" s="277"/>
    </row>
    <row r="144" spans="1:6" ht="15" hidden="1" thickBot="1">
      <c r="A144" s="89"/>
      <c r="B144" s="18"/>
      <c r="C144" s="18"/>
      <c r="D144" s="276"/>
      <c r="E144" s="276"/>
      <c r="F144" s="277"/>
    </row>
    <row r="145" spans="1:6" ht="15" hidden="1" thickBot="1">
      <c r="A145" s="89"/>
      <c r="B145" s="18"/>
      <c r="C145" s="18"/>
      <c r="D145" s="276"/>
      <c r="E145" s="18"/>
      <c r="F145" s="275"/>
    </row>
    <row r="146" spans="1:6" ht="15" hidden="1">
      <c r="A146" s="89"/>
      <c r="B146" s="18"/>
      <c r="C146" s="18"/>
      <c r="D146" s="276"/>
      <c r="E146" s="18"/>
      <c r="F146" s="275"/>
    </row>
    <row r="147" spans="1:6" ht="15" hidden="1">
      <c r="A147" s="89"/>
      <c r="B147" s="18"/>
      <c r="C147" s="18"/>
      <c r="D147" s="276"/>
      <c r="E147" s="276"/>
      <c r="F147" s="277"/>
    </row>
    <row r="148" spans="1:6" ht="15" hidden="1">
      <c r="A148" s="89"/>
      <c r="B148" s="18"/>
      <c r="C148" s="18"/>
      <c r="D148" s="276"/>
      <c r="E148" s="276"/>
      <c r="F148" s="277"/>
    </row>
    <row r="149" spans="1:6" ht="15" hidden="1">
      <c r="A149" s="89"/>
      <c r="B149" s="18"/>
      <c r="C149" s="18"/>
      <c r="D149" s="276"/>
      <c r="E149" s="276"/>
      <c r="F149" s="277"/>
    </row>
    <row r="150" spans="1:6" ht="15" hidden="1">
      <c r="A150" s="89"/>
      <c r="B150" s="18"/>
      <c r="C150" s="18"/>
      <c r="D150" s="276"/>
      <c r="E150" s="276"/>
      <c r="F150" s="277"/>
    </row>
    <row r="151" spans="1:6" ht="15" hidden="1">
      <c r="A151" s="89"/>
      <c r="B151" s="18"/>
      <c r="C151" s="18"/>
      <c r="D151" s="276"/>
      <c r="E151" s="276"/>
      <c r="F151" s="277"/>
    </row>
    <row r="152" spans="1:6" ht="21">
      <c r="A152" s="88" t="s">
        <v>1837</v>
      </c>
      <c r="B152" s="429" t="s">
        <v>2265</v>
      </c>
      <c r="F152" s="280">
        <f>SUM(F153:F202)</f>
        <v>0</v>
      </c>
    </row>
    <row r="153" spans="1:6" ht="15" hidden="1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t="15" hidden="1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t="15" hidden="1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t="15" hidden="1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t="15" hidden="1">
      <c r="A157" s="85"/>
      <c r="B157" s="18"/>
      <c r="C157" s="18"/>
      <c r="D157" s="276"/>
      <c r="E157" s="18"/>
      <c r="F157" s="277"/>
    </row>
    <row r="158" spans="1:6" ht="21" hidden="1">
      <c r="A158" s="85"/>
      <c r="B158" s="155"/>
      <c r="C158" s="18"/>
      <c r="D158" s="276"/>
      <c r="E158" s="18"/>
      <c r="F158" s="277"/>
    </row>
    <row r="159" spans="1:6" ht="15" hidden="1">
      <c r="A159" s="85"/>
      <c r="B159" s="18"/>
      <c r="C159" s="18"/>
      <c r="D159" s="276"/>
      <c r="E159" s="18"/>
      <c r="F159" s="277"/>
    </row>
    <row r="160" spans="1:6" ht="15" hidden="1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t="15" hidden="1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t="15" hidden="1">
      <c r="A162" s="85"/>
      <c r="B162" s="18"/>
      <c r="C162" s="18"/>
      <c r="D162" s="276"/>
      <c r="E162" s="18"/>
      <c r="F162" s="277"/>
    </row>
    <row r="163" spans="1:6" ht="15" hidden="1">
      <c r="A163" s="85"/>
      <c r="B163" s="18"/>
      <c r="C163" s="18"/>
      <c r="D163" s="276"/>
      <c r="E163" s="18"/>
      <c r="F163" s="277"/>
    </row>
    <row r="164" spans="1:6" ht="15" hidden="1">
      <c r="A164" s="85"/>
      <c r="B164" s="18"/>
      <c r="C164" s="18"/>
      <c r="D164" s="276"/>
      <c r="E164" s="18"/>
      <c r="F164" s="277"/>
    </row>
    <row r="165" spans="1:6" ht="15" hidden="1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t="15" hidden="1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t="15" hidden="1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t="15" hidden="1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t="15" hidden="1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t="15" hidden="1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t="15" hidden="1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t="15" hidden="1">
      <c r="A172" s="85"/>
      <c r="B172" s="18"/>
      <c r="C172" s="18"/>
      <c r="D172" s="276"/>
      <c r="E172" s="18"/>
      <c r="F172" s="277"/>
    </row>
    <row r="173" spans="1:6" ht="15" hidden="1">
      <c r="A173" s="85"/>
      <c r="B173" s="18"/>
      <c r="C173" s="18"/>
      <c r="D173" s="276"/>
      <c r="E173" s="18"/>
      <c r="F173" s="277"/>
    </row>
    <row r="174" spans="1:6" ht="15" hidden="1">
      <c r="A174" s="85"/>
      <c r="B174" s="18"/>
      <c r="C174" s="18"/>
      <c r="D174" s="276"/>
      <c r="E174" s="18"/>
      <c r="F174" s="277"/>
    </row>
    <row r="175" spans="1:6" ht="15" hidden="1">
      <c r="A175" s="85"/>
      <c r="B175" s="18"/>
      <c r="C175" s="18"/>
      <c r="D175" s="276"/>
      <c r="E175" s="18"/>
      <c r="F175" s="277"/>
    </row>
    <row r="176" spans="1:6" ht="15" hidden="1">
      <c r="A176" s="85"/>
      <c r="B176" s="18"/>
      <c r="C176" s="18"/>
      <c r="D176" s="276"/>
      <c r="E176" s="18"/>
      <c r="F176" s="277"/>
    </row>
    <row r="177" spans="1:6" ht="15" hidden="1">
      <c r="A177" s="85"/>
      <c r="B177" s="18"/>
      <c r="C177" s="18"/>
      <c r="D177" s="276"/>
      <c r="E177" s="18"/>
      <c r="F177" s="277"/>
    </row>
    <row r="178" spans="1:6" ht="15" hidden="1">
      <c r="A178" s="85"/>
      <c r="B178" s="18"/>
      <c r="C178" s="18"/>
      <c r="D178" s="276"/>
      <c r="E178" s="18"/>
      <c r="F178" s="277"/>
    </row>
    <row r="179" spans="1:6" ht="15" hidden="1">
      <c r="A179" s="85"/>
      <c r="B179" s="18"/>
      <c r="C179" s="18"/>
      <c r="D179" s="276"/>
      <c r="E179" s="18"/>
      <c r="F179" s="277"/>
    </row>
    <row r="180" spans="1:6" ht="15" hidden="1">
      <c r="A180" s="85"/>
      <c r="B180" s="18"/>
      <c r="C180" s="18"/>
      <c r="D180" s="276"/>
      <c r="E180" s="18"/>
      <c r="F180" s="277"/>
    </row>
    <row r="181" spans="1:6" ht="15" hidden="1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t="15" hidden="1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t="15" hidden="1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t="15" hidden="1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t="15" hidden="1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t="15" hidden="1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t="15" hidden="1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t="15" hidden="1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t="15" hidden="1">
      <c r="A189" s="85"/>
      <c r="B189" s="18"/>
      <c r="C189" s="18"/>
      <c r="D189" s="276"/>
      <c r="E189" s="18"/>
      <c r="F189" s="277"/>
    </row>
    <row r="190" spans="1:6" ht="15" hidden="1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t="15" hidden="1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t="15" hidden="1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t="15" hidden="1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t="15" hidden="1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t="15" hidden="1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t="15" hidden="1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t="15" hidden="1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t="15" hidden="1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t="15" hidden="1">
      <c r="A199" s="85"/>
      <c r="B199" s="18"/>
      <c r="C199" s="18"/>
      <c r="D199" s="276"/>
      <c r="E199" s="18"/>
      <c r="F199" s="277"/>
    </row>
    <row r="200" spans="1:6" ht="15" hidden="1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t="15" hidden="1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t="15" hidden="1">
      <c r="A204" s="82"/>
      <c r="B204" s="18"/>
      <c r="C204" s="18"/>
      <c r="D204" s="276"/>
      <c r="E204" s="18"/>
      <c r="F204" s="276"/>
    </row>
    <row r="205" spans="1:6" ht="15" hidden="1">
      <c r="A205" s="82"/>
      <c r="B205" s="18"/>
      <c r="C205" s="18"/>
      <c r="D205" s="276"/>
      <c r="E205" s="18"/>
      <c r="F205" s="276"/>
    </row>
    <row r="206" spans="1:6" ht="15" hidden="1">
      <c r="A206" s="82"/>
      <c r="B206" s="18"/>
      <c r="C206" s="18"/>
      <c r="D206" s="276"/>
      <c r="E206" s="18"/>
      <c r="F206" s="276"/>
    </row>
    <row r="207" spans="1:6" ht="15" hidden="1">
      <c r="A207" s="82"/>
      <c r="B207" s="18"/>
      <c r="C207" s="18"/>
      <c r="D207" s="276"/>
      <c r="E207" s="18"/>
      <c r="F207" s="276"/>
    </row>
    <row r="208" spans="1:6" ht="15" hidden="1">
      <c r="A208" s="82"/>
      <c r="B208" s="18"/>
      <c r="C208" s="18"/>
      <c r="D208" s="276"/>
      <c r="E208" s="18"/>
      <c r="F208" s="276"/>
    </row>
    <row r="209" spans="1:6" ht="15" hidden="1">
      <c r="A209" s="82"/>
      <c r="B209" s="18"/>
      <c r="C209" s="18"/>
      <c r="D209" s="276"/>
      <c r="E209" s="18"/>
      <c r="F209" s="276"/>
    </row>
    <row r="210" spans="1:6" ht="15" hidden="1">
      <c r="A210" s="82"/>
      <c r="B210" s="18"/>
      <c r="C210" s="18"/>
      <c r="D210" s="276"/>
      <c r="E210" s="18"/>
      <c r="F210" s="276"/>
    </row>
    <row r="211" spans="1:6" ht="15" hidden="1">
      <c r="A211" s="82"/>
      <c r="B211" s="18"/>
      <c r="C211" s="18"/>
      <c r="D211" s="276"/>
      <c r="E211" s="18"/>
      <c r="F211" s="276"/>
    </row>
    <row r="212" spans="1:6" ht="15" hidden="1">
      <c r="A212" s="82"/>
      <c r="B212" s="18"/>
      <c r="C212" s="18"/>
      <c r="D212" s="276"/>
      <c r="E212" s="18"/>
      <c r="F212" s="276"/>
    </row>
    <row r="213" spans="1:6" ht="15" hidden="1">
      <c r="A213" s="82"/>
      <c r="B213" s="18"/>
      <c r="C213" s="18"/>
      <c r="D213" s="276"/>
      <c r="E213" s="18">
        <v>1</v>
      </c>
      <c r="F213" s="276">
        <v>0</v>
      </c>
    </row>
    <row r="214" spans="1:6" ht="15" hidden="1">
      <c r="A214" s="82"/>
      <c r="B214" s="18"/>
      <c r="C214" s="18"/>
      <c r="D214" s="276"/>
      <c r="E214" s="18"/>
      <c r="F214" s="276"/>
    </row>
    <row r="215" spans="1:6" ht="15" hidden="1">
      <c r="A215" s="82"/>
      <c r="B215" s="18"/>
      <c r="C215" s="18"/>
      <c r="D215" s="276"/>
      <c r="E215" s="18"/>
      <c r="F215" s="276"/>
    </row>
    <row r="216" spans="1:6" ht="15" hidden="1">
      <c r="A216" s="82"/>
      <c r="B216" s="18"/>
      <c r="C216" s="18"/>
      <c r="D216" s="276"/>
      <c r="E216" s="18"/>
      <c r="F216" s="276"/>
    </row>
    <row r="217" spans="1:6" ht="15" hidden="1">
      <c r="A217" s="82"/>
      <c r="B217" s="18"/>
      <c r="C217" s="18"/>
      <c r="D217" s="276"/>
      <c r="E217" s="18"/>
      <c r="F217" s="276"/>
    </row>
    <row r="218" spans="1:6" ht="15" hidden="1">
      <c r="A218" s="82"/>
      <c r="B218" s="18"/>
      <c r="C218" s="18"/>
      <c r="D218" s="276"/>
      <c r="E218" s="18"/>
      <c r="F218" s="276"/>
    </row>
    <row r="219" spans="1:6" ht="15" hidden="1">
      <c r="A219" s="82"/>
      <c r="B219" s="18"/>
      <c r="C219" s="18"/>
      <c r="D219" s="276"/>
      <c r="E219" s="18"/>
      <c r="F219" s="276"/>
    </row>
    <row r="220" spans="1:6" ht="15" hidden="1">
      <c r="A220" s="82"/>
      <c r="B220" s="18"/>
      <c r="C220" s="18"/>
      <c r="D220" s="276"/>
      <c r="E220" s="18"/>
      <c r="F220" s="276"/>
    </row>
    <row r="221" spans="1:6" ht="15" hidden="1">
      <c r="A221" s="82"/>
      <c r="B221" s="18"/>
      <c r="C221" s="18"/>
      <c r="D221" s="276"/>
      <c r="E221" s="18"/>
      <c r="F221" s="276"/>
    </row>
    <row r="222" spans="1:6" ht="15" hidden="1">
      <c r="A222" s="82"/>
      <c r="B222" s="18"/>
      <c r="C222" s="18"/>
      <c r="D222" s="276"/>
      <c r="E222" s="18"/>
      <c r="F222" s="276"/>
    </row>
    <row r="223" spans="1:6" ht="15" hidden="1">
      <c r="A223" s="82"/>
      <c r="B223" s="18"/>
      <c r="C223" s="18"/>
      <c r="D223" s="276"/>
      <c r="E223" s="18"/>
      <c r="F223" s="276"/>
    </row>
    <row r="224" spans="1:6" ht="15" hidden="1">
      <c r="A224" s="82"/>
      <c r="B224" s="18"/>
      <c r="C224" s="18"/>
      <c r="D224" s="276"/>
      <c r="E224" s="18"/>
      <c r="F224" s="276"/>
    </row>
    <row r="225" spans="1:6" ht="15" hidden="1">
      <c r="A225" s="82"/>
      <c r="B225" s="18"/>
      <c r="C225" s="18"/>
      <c r="D225" s="276"/>
      <c r="E225" s="18"/>
      <c r="F225" s="276"/>
    </row>
    <row r="226" spans="1:6" ht="15" hidden="1">
      <c r="A226" s="82"/>
      <c r="B226" s="18"/>
      <c r="C226" s="18"/>
      <c r="D226" s="276"/>
      <c r="E226" s="18"/>
      <c r="F226" s="276"/>
    </row>
    <row r="227" spans="1:6" ht="15" hidden="1">
      <c r="A227" s="82"/>
      <c r="B227" s="18"/>
      <c r="C227" s="18"/>
      <c r="D227" s="276"/>
      <c r="E227" s="18"/>
      <c r="F227" s="276"/>
    </row>
    <row r="228" spans="1:6" ht="15" hidden="1">
      <c r="A228" s="82"/>
      <c r="B228" s="18"/>
      <c r="C228" s="18"/>
      <c r="D228" s="276"/>
      <c r="E228" s="18"/>
      <c r="F228" s="276"/>
    </row>
    <row r="229" spans="1:6" ht="15" hidden="1">
      <c r="A229" s="82"/>
      <c r="B229" s="18"/>
      <c r="C229" s="18"/>
      <c r="D229" s="276"/>
      <c r="E229" s="18"/>
      <c r="F229" s="276"/>
    </row>
    <row r="230" spans="1:6" ht="15" hidden="1">
      <c r="A230" s="82"/>
      <c r="B230" s="18"/>
      <c r="C230" s="18"/>
      <c r="D230" s="276"/>
      <c r="E230" s="18"/>
      <c r="F230" s="276"/>
    </row>
    <row r="231" spans="1:6" ht="15" hidden="1">
      <c r="A231" s="82"/>
      <c r="B231" s="18"/>
      <c r="C231" s="18"/>
      <c r="D231" s="276"/>
      <c r="E231" s="18"/>
      <c r="F231" s="276"/>
    </row>
    <row r="232" spans="1:6" ht="15" hidden="1">
      <c r="A232" s="82"/>
      <c r="B232" s="18"/>
      <c r="C232" s="18"/>
      <c r="D232" s="276"/>
      <c r="E232" s="276"/>
      <c r="F232" s="276"/>
    </row>
    <row r="233" spans="1:6" ht="15" hidden="1">
      <c r="A233" s="82"/>
      <c r="B233" s="18"/>
      <c r="C233" s="18"/>
      <c r="D233" s="276"/>
      <c r="E233" s="276"/>
      <c r="F233" s="276"/>
    </row>
    <row r="234" spans="1:6" ht="15" hidden="1">
      <c r="A234" s="82"/>
      <c r="B234" s="18"/>
      <c r="C234" s="18"/>
      <c r="D234" s="276"/>
      <c r="E234" s="276"/>
      <c r="F234" s="276"/>
    </row>
    <row r="235" spans="1:6" ht="15" hidden="1">
      <c r="A235" s="82"/>
      <c r="B235" s="18"/>
      <c r="C235" s="18"/>
      <c r="D235" s="276"/>
      <c r="E235" s="276"/>
      <c r="F235" s="276"/>
    </row>
    <row r="236" spans="1:6" ht="15" hidden="1">
      <c r="A236" s="82"/>
      <c r="B236" s="18"/>
      <c r="C236" s="18"/>
      <c r="D236" s="276"/>
      <c r="E236" s="276"/>
      <c r="F236" s="276"/>
    </row>
    <row r="237" spans="1:6" ht="15" hidden="1">
      <c r="A237" s="82"/>
      <c r="B237" s="18"/>
      <c r="C237" s="18"/>
      <c r="D237" s="276"/>
      <c r="E237" s="18"/>
      <c r="F237" s="276"/>
    </row>
    <row r="238" spans="1:6" ht="15" hidden="1">
      <c r="A238" s="82"/>
      <c r="B238" s="18"/>
      <c r="C238" s="18"/>
      <c r="D238" s="276"/>
      <c r="E238" s="18"/>
      <c r="F238" s="276"/>
    </row>
    <row r="239" spans="1:6" ht="15" hidden="1">
      <c r="A239" s="82"/>
      <c r="B239" s="18"/>
      <c r="C239" s="18"/>
      <c r="D239" s="276"/>
      <c r="E239" s="18"/>
      <c r="F239" s="276"/>
    </row>
    <row r="240" spans="1:6" ht="15" hidden="1">
      <c r="A240" s="82"/>
      <c r="B240" s="18"/>
      <c r="C240" s="18"/>
      <c r="D240" s="276"/>
      <c r="E240" s="18"/>
      <c r="F240" s="276"/>
    </row>
    <row r="241" spans="1:6" ht="15" hidden="1">
      <c r="A241" s="82"/>
      <c r="B241" s="18"/>
      <c r="C241" s="18"/>
      <c r="D241" s="276"/>
      <c r="E241" s="18"/>
      <c r="F241" s="276"/>
    </row>
    <row r="242" spans="1:6" ht="15" hidden="1">
      <c r="A242" s="82"/>
      <c r="B242" s="18"/>
      <c r="C242" s="18"/>
      <c r="D242" s="276"/>
      <c r="E242" s="18"/>
      <c r="F242" s="276"/>
    </row>
    <row r="243" spans="1:6" ht="15" hidden="1">
      <c r="A243" s="82"/>
      <c r="B243" s="18"/>
      <c r="C243" s="18"/>
      <c r="D243" s="276"/>
      <c r="E243" s="18"/>
      <c r="F243" s="276"/>
    </row>
    <row r="244" spans="1:6" ht="15" hidden="1">
      <c r="A244" s="82"/>
      <c r="B244" s="18"/>
      <c r="C244" s="18"/>
      <c r="D244" s="276"/>
      <c r="E244" s="18"/>
      <c r="F244" s="276"/>
    </row>
    <row r="245" spans="1:6" ht="15" hidden="1">
      <c r="A245" s="82"/>
      <c r="B245" s="18"/>
      <c r="C245" s="18"/>
      <c r="D245" s="276"/>
      <c r="E245" s="18"/>
      <c r="F245" s="276"/>
    </row>
    <row r="246" spans="1:6" ht="15" hidden="1">
      <c r="A246" s="82"/>
      <c r="B246" s="18"/>
      <c r="C246" s="18"/>
      <c r="D246" s="276"/>
      <c r="E246" s="18"/>
      <c r="F246" s="276"/>
    </row>
    <row r="247" spans="1:6" ht="15" hidden="1">
      <c r="A247" s="82"/>
      <c r="B247" s="18"/>
      <c r="C247" s="18"/>
      <c r="D247" s="276"/>
      <c r="E247" s="18"/>
      <c r="F247" s="276"/>
    </row>
    <row r="248" spans="1:6" ht="15" hidden="1">
      <c r="A248" s="82"/>
      <c r="B248" s="18"/>
      <c r="C248" s="18"/>
      <c r="D248" s="276"/>
      <c r="E248" s="18"/>
      <c r="F248" s="276"/>
    </row>
    <row r="249" spans="1:6" ht="15" hidden="1">
      <c r="A249" s="82"/>
      <c r="B249" s="18"/>
      <c r="C249" s="18"/>
      <c r="D249" s="276"/>
      <c r="E249" s="18"/>
      <c r="F249" s="276"/>
    </row>
    <row r="250" spans="1:6" ht="15" hidden="1">
      <c r="A250" s="82"/>
      <c r="B250" s="18"/>
      <c r="C250" s="18"/>
      <c r="D250" s="276"/>
      <c r="E250" s="18"/>
      <c r="F250" s="276"/>
    </row>
    <row r="251" spans="1:6" ht="15" hidden="1">
      <c r="A251" s="82"/>
      <c r="B251" s="18"/>
      <c r="C251" s="18"/>
      <c r="D251" s="276"/>
      <c r="E251" s="18"/>
      <c r="F251" s="276"/>
    </row>
    <row r="252" spans="1:6" ht="15" hidden="1">
      <c r="A252" s="82"/>
      <c r="B252" s="18"/>
      <c r="C252" s="18"/>
      <c r="D252" s="276"/>
      <c r="E252" s="18"/>
      <c r="F252" s="276"/>
    </row>
    <row r="253" spans="1:6" ht="15" hidden="1">
      <c r="A253" s="82"/>
      <c r="B253" s="18"/>
      <c r="C253" s="18"/>
      <c r="D253" s="276"/>
      <c r="E253" s="18"/>
      <c r="F253" s="276"/>
    </row>
    <row r="254" spans="1:6" ht="15" hidden="1">
      <c r="A254" s="82"/>
      <c r="B254" s="18"/>
      <c r="C254" s="18"/>
      <c r="D254" s="276"/>
      <c r="E254" s="18"/>
      <c r="F254" s="276"/>
    </row>
    <row r="255" spans="1:6" ht="15" hidden="1">
      <c r="A255" s="82"/>
      <c r="B255" s="18"/>
      <c r="C255" s="18"/>
      <c r="D255" s="276"/>
      <c r="E255" s="18"/>
      <c r="F255" s="276"/>
    </row>
    <row r="256" spans="1:6" ht="15" hidden="1">
      <c r="A256" s="82"/>
      <c r="B256" s="18"/>
      <c r="C256" s="18"/>
      <c r="D256" s="276"/>
      <c r="E256" s="18"/>
      <c r="F256" s="276"/>
    </row>
    <row r="257" spans="1:6" ht="15" hidden="1">
      <c r="A257" s="82"/>
      <c r="B257" s="18"/>
      <c r="C257" s="18"/>
      <c r="D257" s="276"/>
      <c r="E257" s="18"/>
      <c r="F257" s="276"/>
    </row>
    <row r="258" spans="1:6" ht="15" hidden="1">
      <c r="A258" s="82"/>
      <c r="B258" s="18"/>
      <c r="C258" s="18"/>
      <c r="D258" s="276"/>
      <c r="E258" s="18"/>
      <c r="F258" s="276"/>
    </row>
    <row r="259" spans="1:6" ht="15" hidden="1">
      <c r="A259" s="82"/>
      <c r="B259" s="18"/>
      <c r="C259" s="18"/>
      <c r="D259" s="276"/>
      <c r="E259" s="18"/>
      <c r="F259" s="276"/>
    </row>
    <row r="260" spans="1:6" ht="15" hidden="1">
      <c r="A260" s="82"/>
      <c r="B260" s="18"/>
      <c r="C260" s="18"/>
      <c r="D260" s="276"/>
      <c r="E260" s="18"/>
      <c r="F260" s="276"/>
    </row>
    <row r="261" spans="1:6" ht="15" hidden="1">
      <c r="A261" s="82"/>
      <c r="B261" s="18"/>
      <c r="C261" s="18"/>
      <c r="D261" s="276"/>
      <c r="E261" s="18"/>
      <c r="F261" s="276"/>
    </row>
    <row r="262" spans="1:6" ht="15" hidden="1">
      <c r="A262" s="82"/>
      <c r="B262" s="18"/>
      <c r="C262" s="18"/>
      <c r="D262" s="276"/>
      <c r="E262" s="18"/>
      <c r="F262" s="276"/>
    </row>
    <row r="263" spans="1:6" ht="15" hidden="1">
      <c r="A263" s="82"/>
      <c r="B263" s="18"/>
      <c r="C263" s="18"/>
      <c r="D263" s="276"/>
      <c r="E263" s="18"/>
      <c r="F263" s="276"/>
    </row>
    <row r="264" spans="1:6" ht="15" hidden="1">
      <c r="A264" s="82"/>
      <c r="B264" s="18"/>
      <c r="C264" s="18"/>
      <c r="D264" s="276"/>
      <c r="E264" s="18"/>
      <c r="F264" s="276"/>
    </row>
    <row r="265" spans="1:6" ht="15" hidden="1">
      <c r="A265" s="82"/>
      <c r="B265" s="18"/>
      <c r="C265" s="18"/>
      <c r="D265" s="276"/>
      <c r="E265" s="18"/>
      <c r="F265" s="276"/>
    </row>
    <row r="266" spans="1:6" ht="15" hidden="1">
      <c r="A266" s="82"/>
      <c r="B266" s="18"/>
      <c r="C266" s="18"/>
      <c r="D266" s="276"/>
      <c r="E266" s="18"/>
      <c r="F266" s="276"/>
    </row>
    <row r="267" spans="1:6" ht="15" hidden="1">
      <c r="A267" s="82"/>
      <c r="B267" s="18"/>
      <c r="C267" s="18"/>
      <c r="D267" s="276"/>
      <c r="E267" s="18"/>
      <c r="F267" s="276"/>
    </row>
    <row r="268" spans="1:6" ht="15" hidden="1">
      <c r="A268" s="82"/>
      <c r="B268" s="18"/>
      <c r="C268" s="18"/>
      <c r="D268" s="276"/>
      <c r="E268" s="18"/>
      <c r="F268" s="276"/>
    </row>
    <row r="269" spans="1:6" ht="15" hidden="1">
      <c r="A269" s="82"/>
      <c r="B269" s="18"/>
      <c r="C269" s="18"/>
      <c r="D269" s="276"/>
      <c r="E269" s="18"/>
      <c r="F269" s="276"/>
    </row>
    <row r="270" spans="1:6" ht="15" hidden="1">
      <c r="A270" s="82"/>
      <c r="B270" s="18"/>
      <c r="C270" s="18"/>
      <c r="D270" s="276"/>
      <c r="E270" s="18"/>
      <c r="F270" s="276"/>
    </row>
    <row r="271" spans="1:6" ht="15" hidden="1">
      <c r="A271" s="82"/>
      <c r="B271" s="18"/>
      <c r="C271" s="18"/>
      <c r="D271" s="276"/>
      <c r="E271" s="18"/>
      <c r="F271" s="276"/>
    </row>
    <row r="272" spans="1:6" ht="15" hidden="1">
      <c r="A272" s="82"/>
      <c r="B272" s="18"/>
      <c r="C272" s="18"/>
      <c r="D272" s="276"/>
      <c r="E272" s="18"/>
      <c r="F272" s="276"/>
    </row>
    <row r="273" spans="1:6" ht="15" hidden="1">
      <c r="A273" s="82"/>
      <c r="B273" s="18"/>
      <c r="C273" s="18"/>
      <c r="D273" s="276"/>
      <c r="E273" s="18"/>
      <c r="F273" s="276"/>
    </row>
    <row r="274" spans="1:6" ht="15" hidden="1">
      <c r="A274" s="82"/>
      <c r="B274" s="18"/>
      <c r="C274" s="18"/>
      <c r="D274" s="276"/>
      <c r="E274" s="18"/>
      <c r="F274" s="276"/>
    </row>
    <row r="275" spans="1:6" ht="15" hidden="1">
      <c r="A275" s="82"/>
      <c r="B275" s="18"/>
      <c r="C275" s="18"/>
      <c r="D275" s="276"/>
      <c r="E275" s="18"/>
      <c r="F275" s="276"/>
    </row>
    <row r="276" spans="1:6" ht="15" hidden="1">
      <c r="A276" s="82"/>
      <c r="B276" s="18"/>
      <c r="C276" s="18"/>
      <c r="D276" s="276"/>
      <c r="E276" s="18"/>
      <c r="F276" s="276"/>
    </row>
    <row r="277" spans="1:6" ht="15" hidden="1">
      <c r="A277" s="82"/>
      <c r="B277" s="18"/>
      <c r="C277" s="18"/>
      <c r="D277" s="276"/>
      <c r="E277" s="18"/>
      <c r="F277" s="276"/>
    </row>
    <row r="278" spans="1:6" ht="15" hidden="1">
      <c r="A278" s="82"/>
      <c r="B278" s="18"/>
      <c r="C278" s="18"/>
      <c r="D278" s="276"/>
      <c r="E278" s="18"/>
      <c r="F278" s="276"/>
    </row>
    <row r="279" spans="1:6" ht="15" hidden="1">
      <c r="A279" s="82"/>
      <c r="B279" s="18"/>
      <c r="C279" s="18"/>
      <c r="D279" s="276"/>
      <c r="E279" s="18"/>
      <c r="F279" s="276"/>
    </row>
    <row r="280" spans="1:6" ht="15" hidden="1">
      <c r="A280" s="82"/>
      <c r="B280" s="18"/>
      <c r="C280" s="18"/>
      <c r="D280" s="276"/>
      <c r="E280" s="18"/>
      <c r="F280" s="276"/>
    </row>
    <row r="281" spans="1:6" ht="15" hidden="1">
      <c r="A281" s="82"/>
      <c r="B281" s="18"/>
      <c r="C281" s="18"/>
      <c r="D281" s="276"/>
      <c r="E281" s="18"/>
      <c r="F281" s="276"/>
    </row>
    <row r="282" spans="1:6" ht="15" hidden="1">
      <c r="A282" s="82"/>
      <c r="B282" s="18"/>
      <c r="C282" s="18"/>
      <c r="D282" s="276"/>
      <c r="E282" s="18"/>
      <c r="F282" s="276"/>
    </row>
    <row r="283" spans="1:6" ht="15" hidden="1">
      <c r="A283" s="82"/>
      <c r="B283" s="18"/>
      <c r="C283" s="18"/>
      <c r="D283" s="276"/>
      <c r="E283" s="18"/>
      <c r="F283" s="276"/>
    </row>
    <row r="284" spans="1:6" ht="15" hidden="1">
      <c r="A284" s="82"/>
      <c r="B284" s="18"/>
      <c r="C284" s="18"/>
      <c r="D284" s="276"/>
      <c r="E284" s="18"/>
      <c r="F284" s="276"/>
    </row>
    <row r="285" spans="1:6" ht="15" hidden="1">
      <c r="A285" s="82"/>
      <c r="B285" s="18"/>
      <c r="C285" s="18"/>
      <c r="D285" s="276"/>
      <c r="E285" s="18"/>
      <c r="F285" s="276"/>
    </row>
    <row r="286" spans="1:6" ht="15" hidden="1">
      <c r="A286" s="82"/>
      <c r="B286" s="18"/>
      <c r="C286" s="18"/>
      <c r="D286" s="276"/>
      <c r="E286" s="18"/>
      <c r="F286" s="276"/>
    </row>
    <row r="287" spans="1:6" ht="15" hidden="1">
      <c r="A287" s="82"/>
      <c r="B287" s="18"/>
      <c r="C287" s="18"/>
      <c r="D287" s="276"/>
      <c r="E287" s="18"/>
      <c r="F287" s="276"/>
    </row>
    <row r="288" spans="1:6" ht="15" hidden="1">
      <c r="A288" s="82"/>
      <c r="B288" s="18"/>
      <c r="C288" s="18"/>
      <c r="D288" s="276"/>
      <c r="E288" s="18"/>
      <c r="F288" s="276"/>
    </row>
    <row r="289" spans="1:6" ht="15" hidden="1">
      <c r="A289" s="82"/>
      <c r="B289" s="18"/>
      <c r="C289" s="18"/>
      <c r="D289" s="276"/>
      <c r="E289" s="18"/>
      <c r="F289" s="276"/>
    </row>
    <row r="290" spans="1:6" ht="15" hidden="1">
      <c r="A290" s="82"/>
      <c r="B290" s="18"/>
      <c r="C290" s="18"/>
      <c r="D290" s="276"/>
      <c r="E290" s="18"/>
      <c r="F290" s="276"/>
    </row>
    <row r="291" spans="1:6" ht="15" hidden="1">
      <c r="A291" s="82"/>
      <c r="B291" s="18"/>
      <c r="C291" s="18"/>
      <c r="D291" s="276"/>
      <c r="E291" s="18"/>
      <c r="F291" s="276"/>
    </row>
    <row r="292" spans="1:6" ht="15" hidden="1">
      <c r="A292" s="82"/>
      <c r="B292" s="18"/>
      <c r="C292" s="18"/>
      <c r="D292" s="276"/>
      <c r="E292" s="18"/>
      <c r="F292" s="276"/>
    </row>
    <row r="293" spans="1:6" ht="15" hidden="1">
      <c r="A293" s="82"/>
      <c r="B293" s="18"/>
      <c r="C293" s="18"/>
      <c r="D293" s="276"/>
      <c r="E293" s="18"/>
      <c r="F293" s="276"/>
    </row>
    <row r="294" spans="1:6" ht="15" hidden="1">
      <c r="A294" s="82"/>
      <c r="B294" s="18"/>
      <c r="C294" s="18"/>
      <c r="D294" s="276"/>
      <c r="E294" s="18"/>
      <c r="F294" s="276"/>
    </row>
    <row r="295" spans="1:6" ht="15" hidden="1">
      <c r="A295" s="82"/>
      <c r="B295" s="18"/>
      <c r="C295" s="18"/>
      <c r="D295" s="276"/>
      <c r="E295" s="18"/>
      <c r="F295" s="276"/>
    </row>
    <row r="296" spans="1:6" ht="15" hidden="1">
      <c r="A296" s="82"/>
      <c r="B296" s="18"/>
      <c r="C296" s="18"/>
      <c r="D296" s="276"/>
      <c r="E296" s="18"/>
      <c r="F296" s="276"/>
    </row>
    <row r="297" spans="1:6" ht="21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t="15" hidden="1">
      <c r="A298" s="18"/>
      <c r="B298" s="18"/>
      <c r="C298" s="18"/>
      <c r="D298" s="276"/>
      <c r="E298" s="276"/>
      <c r="F298" s="276"/>
    </row>
    <row r="299" spans="1:6" ht="15" hidden="1">
      <c r="A299" s="18"/>
      <c r="B299" s="18"/>
      <c r="C299" s="18"/>
      <c r="D299" s="276"/>
      <c r="E299" s="276"/>
      <c r="F299" s="276"/>
    </row>
    <row r="300" spans="1:6" ht="15" hidden="1">
      <c r="A300" s="18"/>
      <c r="B300" s="18"/>
      <c r="C300" s="18"/>
      <c r="D300" s="276"/>
      <c r="E300" s="276"/>
      <c r="F300" s="276"/>
    </row>
    <row r="301" spans="1:6" ht="15" hidden="1">
      <c r="A301" s="18"/>
      <c r="B301" s="18"/>
      <c r="C301" s="18"/>
      <c r="D301" s="276"/>
      <c r="E301" s="276"/>
      <c r="F301" s="276"/>
    </row>
    <row r="302" spans="1:6" ht="15" hidden="1">
      <c r="A302" s="18"/>
      <c r="B302" s="18"/>
      <c r="C302" s="18"/>
      <c r="D302" s="276"/>
      <c r="E302" s="276"/>
      <c r="F302" s="276"/>
    </row>
    <row r="303" spans="1:6" ht="15" hidden="1">
      <c r="A303" s="18"/>
      <c r="B303" s="18"/>
      <c r="C303" s="18"/>
      <c r="D303" s="276"/>
      <c r="E303" s="276"/>
      <c r="F303" s="276"/>
    </row>
    <row r="304" spans="1:6" ht="15" hidden="1">
      <c r="A304" s="18"/>
      <c r="B304" s="18"/>
      <c r="C304" s="18"/>
      <c r="D304" s="276"/>
      <c r="E304" s="276"/>
      <c r="F304" s="276"/>
    </row>
    <row r="305" spans="1:6" ht="15" hidden="1">
      <c r="A305" s="18"/>
      <c r="B305" s="18"/>
      <c r="C305" s="18"/>
      <c r="D305" s="276"/>
      <c r="E305" s="276"/>
      <c r="F305" s="276"/>
    </row>
    <row r="306" spans="1:6" ht="15" hidden="1">
      <c r="A306" s="18"/>
      <c r="B306" s="18"/>
      <c r="C306" s="18"/>
      <c r="D306" s="276"/>
      <c r="E306" s="276"/>
      <c r="F306" s="276"/>
    </row>
    <row r="307" spans="1:6" ht="15" hidden="1">
      <c r="A307" s="18"/>
      <c r="B307" s="18"/>
      <c r="C307" s="18"/>
      <c r="D307" s="276"/>
      <c r="E307" s="276"/>
      <c r="F307" s="276"/>
    </row>
    <row r="308" spans="1:6" ht="15" hidden="1">
      <c r="A308" s="18"/>
      <c r="B308" s="18"/>
      <c r="C308" s="18"/>
      <c r="D308" s="276"/>
      <c r="E308" s="276"/>
      <c r="F308" s="276"/>
    </row>
    <row r="309" spans="1:6" ht="15" hidden="1">
      <c r="A309" s="18"/>
      <c r="B309" s="18"/>
      <c r="C309" s="18"/>
      <c r="D309" s="276"/>
      <c r="E309" s="276"/>
      <c r="F309" s="276"/>
    </row>
    <row r="310" spans="1:6" ht="15" hidden="1">
      <c r="A310" s="18"/>
      <c r="B310" s="18"/>
      <c r="C310" s="18"/>
      <c r="D310" s="276"/>
      <c r="E310" s="276"/>
      <c r="F310" s="276"/>
    </row>
    <row r="311" spans="1:6" ht="15" hidden="1">
      <c r="A311" s="18"/>
      <c r="B311" s="18"/>
      <c r="C311" s="18"/>
      <c r="D311" s="276"/>
      <c r="E311" s="276"/>
      <c r="F311" s="276"/>
    </row>
    <row r="312" spans="1:6" ht="15" hidden="1">
      <c r="A312" s="18"/>
      <c r="B312" s="18"/>
      <c r="C312" s="18"/>
      <c r="D312" s="276"/>
      <c r="E312" s="276"/>
      <c r="F312" s="276"/>
    </row>
    <row r="313" spans="1:6" ht="15" hidden="1">
      <c r="A313" s="18"/>
      <c r="B313" s="18"/>
      <c r="C313" s="18"/>
      <c r="D313" s="276"/>
      <c r="E313" s="276"/>
      <c r="F313" s="276"/>
    </row>
    <row r="314" spans="1:6" ht="15" hidden="1">
      <c r="A314" s="18"/>
      <c r="B314" s="18"/>
      <c r="C314" s="18"/>
      <c r="D314" s="276"/>
      <c r="E314" s="276"/>
      <c r="F314" s="276"/>
    </row>
    <row r="315" spans="1:6" ht="15" hidden="1">
      <c r="A315" s="18"/>
      <c r="B315" s="18"/>
      <c r="C315" s="18"/>
      <c r="D315" s="276"/>
      <c r="E315" s="276"/>
      <c r="F315" s="276"/>
    </row>
    <row r="316" spans="1:6" ht="15" hidden="1">
      <c r="A316" s="18"/>
      <c r="B316" s="18"/>
      <c r="C316" s="18"/>
      <c r="D316" s="276"/>
      <c r="E316" s="276"/>
      <c r="F316" s="276"/>
    </row>
    <row r="317" spans="1:6" ht="15" hidden="1">
      <c r="A317" s="18"/>
      <c r="B317" s="18"/>
      <c r="C317" s="18"/>
      <c r="D317" s="276"/>
      <c r="E317" s="276"/>
      <c r="F317" s="276"/>
    </row>
    <row r="318" spans="1:6" ht="15" hidden="1">
      <c r="A318" s="18"/>
      <c r="B318" s="18"/>
      <c r="C318" s="18"/>
      <c r="D318" s="276"/>
      <c r="E318" s="276"/>
      <c r="F318" s="276"/>
    </row>
    <row r="319" spans="1:6" ht="15" hidden="1">
      <c r="A319" s="18"/>
      <c r="B319" s="18"/>
      <c r="C319" s="18"/>
      <c r="D319" s="276"/>
      <c r="E319" s="276"/>
      <c r="F319" s="276"/>
    </row>
    <row r="320" spans="1:6" ht="15" hidden="1">
      <c r="A320" s="18"/>
      <c r="B320" s="18"/>
      <c r="C320" s="18"/>
      <c r="D320" s="276"/>
      <c r="E320" s="276"/>
      <c r="F320" s="276"/>
    </row>
    <row r="321" spans="1:6" ht="15" hidden="1">
      <c r="A321" s="18"/>
      <c r="B321" s="18"/>
      <c r="C321" s="18"/>
      <c r="D321" s="276"/>
      <c r="E321" s="276"/>
      <c r="F321" s="276"/>
    </row>
    <row r="322" spans="1:6" ht="15" hidden="1">
      <c r="A322" s="18"/>
      <c r="B322" s="18"/>
      <c r="C322" s="18"/>
      <c r="D322" s="276"/>
      <c r="E322" s="276"/>
      <c r="F322" s="276"/>
    </row>
    <row r="323" spans="1:6" ht="15" hidden="1">
      <c r="A323" s="18"/>
      <c r="B323" s="18"/>
      <c r="C323" s="18"/>
      <c r="D323" s="276"/>
      <c r="E323" s="276"/>
      <c r="F323" s="276"/>
    </row>
    <row r="324" spans="1:6" ht="15" hidden="1">
      <c r="A324" s="18"/>
      <c r="B324" s="18"/>
      <c r="C324" s="18"/>
      <c r="D324" s="276"/>
      <c r="E324" s="276"/>
      <c r="F324" s="276"/>
    </row>
    <row r="325" spans="1:6" ht="15" hidden="1">
      <c r="A325" s="18"/>
      <c r="B325" s="18"/>
      <c r="C325" s="18"/>
      <c r="D325" s="276"/>
      <c r="E325" s="276"/>
      <c r="F325" s="276"/>
    </row>
    <row r="326" spans="1:6" ht="15" hidden="1">
      <c r="A326" s="18"/>
      <c r="B326" s="18"/>
      <c r="C326" s="18"/>
      <c r="D326" s="276"/>
      <c r="E326" s="276"/>
      <c r="F326" s="276"/>
    </row>
    <row r="327" spans="1:6" ht="15" hidden="1">
      <c r="A327" s="18"/>
      <c r="B327" s="18"/>
      <c r="C327" s="18"/>
      <c r="D327" s="276"/>
      <c r="E327" s="276"/>
      <c r="F327" s="276"/>
    </row>
    <row r="328" spans="1:6" ht="15" hidden="1">
      <c r="A328" s="18"/>
      <c r="B328" s="18"/>
      <c r="C328" s="18"/>
      <c r="D328" s="276"/>
      <c r="E328" s="276"/>
      <c r="F328" s="276"/>
    </row>
    <row r="329" spans="1:6" ht="15" hidden="1">
      <c r="A329" s="18"/>
      <c r="B329" s="18"/>
      <c r="C329" s="18"/>
      <c r="D329" s="276"/>
      <c r="E329" s="276"/>
      <c r="F329" s="276"/>
    </row>
    <row r="330" spans="1:6" ht="15" hidden="1">
      <c r="A330" s="18"/>
      <c r="B330" s="18"/>
      <c r="C330" s="18"/>
      <c r="D330" s="276"/>
      <c r="E330" s="276"/>
      <c r="F330" s="276"/>
    </row>
    <row r="331" spans="1:6" ht="15" hidden="1">
      <c r="A331" s="18"/>
      <c r="B331" s="18"/>
      <c r="C331" s="18"/>
      <c r="D331" s="276"/>
      <c r="E331" s="276"/>
      <c r="F331" s="276"/>
    </row>
    <row r="332" spans="1:6" ht="15" hidden="1">
      <c r="A332" s="18"/>
      <c r="B332" s="18"/>
      <c r="C332" s="18"/>
      <c r="D332" s="276"/>
      <c r="E332" s="276"/>
      <c r="F332" s="276"/>
    </row>
    <row r="333" spans="1:6" ht="15" hidden="1">
      <c r="A333" s="18"/>
      <c r="B333" s="18"/>
      <c r="C333" s="18"/>
      <c r="D333" s="276"/>
      <c r="E333" s="276"/>
      <c r="F333" s="276"/>
    </row>
    <row r="334" spans="1:6" ht="15" hidden="1">
      <c r="A334" s="18"/>
      <c r="B334" s="18"/>
      <c r="C334" s="18"/>
      <c r="D334" s="276"/>
      <c r="E334" s="276"/>
      <c r="F334" s="276"/>
    </row>
    <row r="335" spans="1:6" ht="15" hidden="1">
      <c r="A335" s="18"/>
      <c r="B335" s="18"/>
      <c r="C335" s="18"/>
      <c r="D335" s="276"/>
      <c r="E335" s="276"/>
      <c r="F335" s="276"/>
    </row>
    <row r="336" spans="1:6" ht="15" hidden="1">
      <c r="A336" s="18"/>
      <c r="B336" s="18"/>
      <c r="C336" s="18"/>
      <c r="D336" s="276"/>
      <c r="E336" s="276"/>
      <c r="F336" s="276"/>
    </row>
    <row r="337" spans="1:6" ht="18.75">
      <c r="A337" s="83" t="s">
        <v>1837</v>
      </c>
      <c r="B337" s="153" t="s">
        <v>2079</v>
      </c>
      <c r="F337" s="56">
        <f>SUM(F338:F389)</f>
        <v>28467.167109133123</v>
      </c>
    </row>
    <row r="338" spans="1:6" ht="15" hidden="1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t="15" hidden="1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t="15" hidden="1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t="15" hidden="1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ht="1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t="15" hidden="1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t="15" hidden="1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t="15" hidden="1">
      <c r="A345" s="82"/>
      <c r="B345" s="18"/>
      <c r="C345" s="18"/>
      <c r="D345" s="276"/>
      <c r="E345" s="276"/>
      <c r="F345" s="276"/>
    </row>
    <row r="346" spans="1:6" ht="15" hidden="1">
      <c r="A346" s="82"/>
      <c r="B346" s="18"/>
      <c r="C346" s="18"/>
      <c r="D346" s="276"/>
      <c r="E346" s="276"/>
      <c r="F346" s="276"/>
    </row>
    <row r="347" spans="1:6" ht="15" hidden="1">
      <c r="A347" s="82"/>
      <c r="B347" s="18"/>
      <c r="C347" s="18"/>
      <c r="D347" s="276"/>
      <c r="E347" s="276"/>
      <c r="F347" s="276"/>
    </row>
    <row r="348" spans="1:6" ht="15" hidden="1">
      <c r="A348" s="82"/>
      <c r="B348" s="18"/>
      <c r="C348" s="18"/>
      <c r="D348" s="276"/>
      <c r="E348" s="276"/>
      <c r="F348" s="276"/>
    </row>
    <row r="349" spans="1:6" ht="15" hidden="1">
      <c r="A349" s="82"/>
      <c r="B349" s="18"/>
      <c r="C349" s="18"/>
      <c r="D349" s="276"/>
      <c r="E349" s="276"/>
      <c r="F349" s="276"/>
    </row>
    <row r="350" spans="1:6" ht="1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ht="1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ht="1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ht="1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ht="1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ht="1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ht="1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ht="1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ht="1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t="15" hidden="1">
      <c r="A359" s="82"/>
      <c r="B359" s="18"/>
      <c r="C359" s="18"/>
      <c r="D359" s="276"/>
      <c r="E359" s="276"/>
      <c r="F359" s="276"/>
    </row>
    <row r="360" spans="1:6" ht="15" hidden="1">
      <c r="A360" s="82"/>
      <c r="B360" s="18"/>
      <c r="C360" s="18"/>
      <c r="D360" s="276"/>
      <c r="E360" s="276"/>
      <c r="F360" s="276"/>
    </row>
    <row r="361" spans="1:6" ht="15" hidden="1">
      <c r="A361" s="82"/>
      <c r="B361" s="18"/>
      <c r="C361" s="18"/>
      <c r="D361" s="276"/>
      <c r="E361" s="276"/>
      <c r="F361" s="276"/>
    </row>
    <row r="362" spans="1:6" ht="15" hidden="1">
      <c r="A362" s="82"/>
      <c r="B362" s="18"/>
      <c r="C362" s="18"/>
      <c r="D362" s="276"/>
      <c r="E362" s="276"/>
      <c r="F362" s="276"/>
    </row>
    <row r="363" spans="1:6" ht="15" hidden="1">
      <c r="A363" s="82"/>
      <c r="B363" s="18"/>
      <c r="C363" s="18"/>
      <c r="D363" s="276"/>
      <c r="E363" s="276"/>
      <c r="F363" s="276"/>
    </row>
    <row r="364" spans="1:6" ht="15" hidden="1">
      <c r="A364" s="82"/>
      <c r="B364" s="18"/>
      <c r="C364" s="18"/>
      <c r="D364" s="276"/>
      <c r="E364" s="276"/>
      <c r="F364" s="276"/>
    </row>
    <row r="365" spans="1:6" ht="15" hidden="1">
      <c r="A365" s="82"/>
      <c r="B365" s="18"/>
      <c r="C365" s="18"/>
      <c r="D365" s="276"/>
      <c r="E365" s="276"/>
      <c r="F365" s="276"/>
    </row>
    <row r="366" spans="1:6" ht="15" hidden="1">
      <c r="A366" s="82"/>
      <c r="B366" s="18"/>
      <c r="C366" s="18"/>
      <c r="D366" s="276"/>
      <c r="E366" s="276"/>
      <c r="F366" s="276"/>
    </row>
    <row r="367" spans="1:6" ht="15" hidden="1">
      <c r="A367" s="82"/>
      <c r="B367" s="18"/>
      <c r="C367" s="18"/>
      <c r="D367" s="276"/>
      <c r="E367" s="276"/>
      <c r="F367" s="276"/>
    </row>
    <row r="368" spans="1:6" ht="15" hidden="1">
      <c r="A368" s="82"/>
      <c r="B368" s="18"/>
      <c r="C368" s="18"/>
      <c r="D368" s="276"/>
      <c r="E368" s="276"/>
      <c r="F368" s="276"/>
    </row>
    <row r="369" spans="1:6" ht="15" hidden="1">
      <c r="A369" s="82"/>
      <c r="B369" s="18"/>
      <c r="C369" s="18"/>
      <c r="D369" s="276"/>
      <c r="E369" s="276"/>
      <c r="F369" s="276"/>
    </row>
    <row r="370" spans="1:6" ht="15" hidden="1">
      <c r="A370" s="82"/>
      <c r="B370" s="18"/>
      <c r="C370" s="18"/>
      <c r="D370" s="276"/>
      <c r="E370" s="276"/>
      <c r="F370" s="276"/>
    </row>
    <row r="371" spans="1:6" ht="15" hidden="1">
      <c r="A371" s="82"/>
      <c r="B371" s="18"/>
      <c r="C371" s="18"/>
      <c r="D371" s="276"/>
      <c r="E371" s="276"/>
      <c r="F371" s="276"/>
    </row>
    <row r="372" spans="1:6" ht="15" hidden="1">
      <c r="A372" s="82"/>
      <c r="B372" s="18"/>
      <c r="C372" s="18"/>
      <c r="D372" s="276"/>
      <c r="E372" s="276"/>
      <c r="F372" s="276"/>
    </row>
    <row r="373" spans="1:6" ht="15" hidden="1">
      <c r="A373" s="82"/>
      <c r="B373" s="18"/>
      <c r="C373" s="18"/>
      <c r="D373" s="276"/>
      <c r="E373" s="276"/>
      <c r="F373" s="276"/>
    </row>
    <row r="374" spans="1:6" ht="15" hidden="1">
      <c r="A374" s="82"/>
      <c r="B374" s="18"/>
      <c r="C374" s="18"/>
      <c r="D374" s="276"/>
      <c r="E374" s="276"/>
      <c r="F374" s="276"/>
    </row>
    <row r="375" spans="1:6" ht="15" hidden="1">
      <c r="A375" s="82"/>
      <c r="B375" s="18"/>
      <c r="C375" s="18"/>
      <c r="D375" s="276"/>
      <c r="E375" s="276"/>
      <c r="F375" s="276"/>
    </row>
    <row r="376" spans="1:6" ht="15" hidden="1">
      <c r="A376" s="82"/>
      <c r="B376" s="18"/>
      <c r="C376" s="18"/>
      <c r="D376" s="276"/>
      <c r="E376" s="276"/>
      <c r="F376" s="276"/>
    </row>
    <row r="377" spans="1:6" ht="15" hidden="1">
      <c r="A377" s="82"/>
      <c r="B377" s="18"/>
      <c r="C377" s="18"/>
      <c r="D377" s="276"/>
      <c r="E377" s="276"/>
      <c r="F377" s="276"/>
    </row>
    <row r="378" spans="1:6" ht="15" hidden="1">
      <c r="A378" s="82"/>
      <c r="B378" s="18"/>
      <c r="C378" s="18"/>
      <c r="D378" s="276"/>
      <c r="E378" s="276"/>
      <c r="F378" s="276"/>
    </row>
    <row r="379" spans="1:6" ht="15" hidden="1">
      <c r="A379" s="82"/>
      <c r="B379" s="18"/>
      <c r="C379" s="18"/>
      <c r="D379" s="276"/>
      <c r="E379" s="276"/>
      <c r="F379" s="276"/>
    </row>
    <row r="380" spans="1:6" ht="15" hidden="1">
      <c r="A380" s="82"/>
      <c r="B380" s="18"/>
      <c r="C380" s="18"/>
      <c r="D380" s="276"/>
      <c r="E380" s="276"/>
      <c r="F380" s="276"/>
    </row>
    <row r="381" spans="1:6" ht="15" hidden="1">
      <c r="A381" s="82"/>
      <c r="B381" s="18"/>
      <c r="C381" s="18"/>
      <c r="D381" s="276"/>
      <c r="E381" s="276"/>
      <c r="F381" s="276"/>
    </row>
    <row r="382" spans="1:6" ht="15" hidden="1">
      <c r="A382" s="82"/>
      <c r="B382" s="18"/>
      <c r="C382" s="18"/>
      <c r="D382" s="276"/>
      <c r="E382" s="276"/>
      <c r="F382" s="276"/>
    </row>
    <row r="383" spans="1:6" ht="15" hidden="1">
      <c r="A383" s="82"/>
      <c r="B383" s="18"/>
      <c r="C383" s="18"/>
      <c r="D383" s="276"/>
      <c r="E383" s="276"/>
      <c r="F383" s="276"/>
    </row>
    <row r="384" spans="1:6" ht="15" hidden="1">
      <c r="A384" s="82"/>
      <c r="B384" s="18"/>
      <c r="C384" s="18"/>
      <c r="D384" s="276"/>
      <c r="E384" s="276"/>
      <c r="F384" s="276"/>
    </row>
    <row r="385" spans="1:6" ht="15" hidden="1">
      <c r="A385" s="82"/>
      <c r="B385" s="18"/>
      <c r="C385" s="18"/>
      <c r="D385" s="276"/>
      <c r="E385" s="276"/>
      <c r="F385" s="276"/>
    </row>
    <row r="386" spans="1:6" ht="15" hidden="1">
      <c r="A386" s="82"/>
      <c r="B386" s="18"/>
      <c r="C386" s="18"/>
      <c r="D386" s="276"/>
      <c r="E386" s="276"/>
      <c r="F386" s="276"/>
    </row>
    <row r="387" spans="1:6" ht="15" hidden="1">
      <c r="A387" s="82"/>
      <c r="B387" s="18"/>
      <c r="C387" s="18"/>
      <c r="D387" s="276"/>
      <c r="E387" s="276"/>
      <c r="F387" s="276"/>
    </row>
    <row r="388" spans="1:6" ht="15" hidden="1">
      <c r="A388" s="82"/>
      <c r="B388" s="18"/>
      <c r="C388" s="18"/>
      <c r="D388" s="276"/>
      <c r="E388" s="276"/>
      <c r="F388" s="276"/>
    </row>
    <row r="389" spans="1:6" ht="15" hidden="1">
      <c r="A389" s="82"/>
      <c r="B389" s="18"/>
      <c r="C389" s="18"/>
      <c r="D389" s="276"/>
      <c r="E389" s="328"/>
      <c r="F389" s="328"/>
    </row>
    <row r="390" spans="1:6" ht="18.75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t="15" hidden="1">
      <c r="A391" s="82"/>
      <c r="B391" s="18"/>
      <c r="C391" s="18"/>
      <c r="D391" s="276"/>
      <c r="E391" s="276"/>
      <c r="F391" s="276"/>
    </row>
    <row r="392" spans="1:6" ht="15" hidden="1">
      <c r="A392" s="82"/>
      <c r="B392" s="18"/>
      <c r="C392" s="18"/>
      <c r="D392" s="276"/>
      <c r="E392" s="276"/>
      <c r="F392" s="276"/>
    </row>
    <row r="393" spans="1:6" ht="15" hidden="1">
      <c r="A393" s="82"/>
      <c r="B393" s="18"/>
      <c r="C393" s="18"/>
      <c r="D393" s="276"/>
      <c r="E393" s="276"/>
      <c r="F393" s="276"/>
    </row>
    <row r="394" spans="1:6" ht="15" hidden="1">
      <c r="A394" s="82"/>
      <c r="B394" s="18"/>
      <c r="C394" s="18"/>
      <c r="D394" s="276"/>
      <c r="E394" s="276"/>
      <c r="F394" s="276"/>
    </row>
    <row r="395" spans="1:6" ht="15" hidden="1">
      <c r="A395" s="82"/>
      <c r="B395" s="18"/>
      <c r="C395" s="18"/>
      <c r="D395" s="276"/>
      <c r="E395" s="276"/>
      <c r="F395" s="276"/>
    </row>
    <row r="396" spans="1:6" ht="15" hidden="1">
      <c r="A396" s="82"/>
      <c r="B396" s="18"/>
      <c r="C396" s="18"/>
      <c r="D396" s="276"/>
      <c r="E396" s="276"/>
      <c r="F396" s="276"/>
    </row>
    <row r="397" spans="1:6" ht="15" hidden="1">
      <c r="A397" s="82"/>
      <c r="B397" s="18"/>
      <c r="C397" s="18"/>
      <c r="D397" s="276"/>
      <c r="E397" s="276"/>
      <c r="F397" s="276"/>
    </row>
    <row r="398" spans="1:6" ht="15" hidden="1">
      <c r="A398" s="82"/>
      <c r="B398" s="18"/>
      <c r="C398" s="18"/>
      <c r="D398" s="276"/>
      <c r="E398" s="276"/>
      <c r="F398" s="276"/>
    </row>
    <row r="399" spans="1:6" ht="15" hidden="1">
      <c r="A399" s="82"/>
      <c r="B399" s="18"/>
      <c r="C399" s="18"/>
      <c r="D399" s="276"/>
      <c r="E399" s="276"/>
      <c r="F399" s="276"/>
    </row>
    <row r="400" spans="1:6" ht="15" hidden="1">
      <c r="A400" s="82"/>
      <c r="B400" s="18"/>
      <c r="C400" s="18"/>
      <c r="D400" s="276"/>
      <c r="E400" s="276"/>
      <c r="F400" s="276"/>
    </row>
    <row r="401" spans="1:6" ht="15" hidden="1">
      <c r="A401" s="82"/>
      <c r="B401" s="18"/>
      <c r="C401" s="18"/>
      <c r="D401" s="276"/>
      <c r="E401" s="276"/>
      <c r="F401" s="276"/>
    </row>
    <row r="402" spans="1:6" ht="15" hidden="1">
      <c r="A402" s="82"/>
      <c r="B402" s="18"/>
      <c r="C402" s="18"/>
      <c r="D402" s="276"/>
      <c r="E402" s="276"/>
      <c r="F402" s="276"/>
    </row>
    <row r="403" spans="1:6" ht="15" hidden="1">
      <c r="A403" s="82"/>
      <c r="B403" s="18"/>
      <c r="C403" s="18"/>
      <c r="D403" s="276"/>
      <c r="E403" s="276"/>
      <c r="F403" s="276"/>
    </row>
    <row r="404" spans="1:6" ht="15" hidden="1">
      <c r="A404" s="82"/>
      <c r="B404" s="18"/>
      <c r="C404" s="18"/>
      <c r="D404" s="276"/>
      <c r="E404" s="276"/>
      <c r="F404" s="276"/>
    </row>
    <row r="405" spans="1:6" ht="15" hidden="1">
      <c r="A405" s="82"/>
      <c r="B405" s="18"/>
      <c r="C405" s="18"/>
      <c r="D405" s="276"/>
      <c r="E405" s="276"/>
      <c r="F405" s="276"/>
    </row>
    <row r="406" spans="1:6" ht="15" hidden="1">
      <c r="A406" s="82"/>
      <c r="B406" s="18"/>
      <c r="C406" s="18"/>
      <c r="D406" s="276"/>
      <c r="E406" s="276"/>
      <c r="F406" s="276"/>
    </row>
    <row r="407" spans="1:6" ht="15" hidden="1">
      <c r="A407" s="82"/>
      <c r="B407" s="18"/>
      <c r="C407" s="18"/>
      <c r="D407" s="276"/>
      <c r="E407" s="276"/>
      <c r="F407" s="276"/>
    </row>
    <row r="408" spans="1:6" ht="15" hidden="1">
      <c r="A408" s="82"/>
      <c r="B408" s="18"/>
      <c r="C408" s="18"/>
      <c r="D408" s="276"/>
      <c r="E408" s="276"/>
      <c r="F408" s="276"/>
    </row>
    <row r="409" spans="1:6" ht="15" hidden="1">
      <c r="A409" s="82"/>
      <c r="B409" s="18"/>
      <c r="C409" s="18"/>
      <c r="D409" s="276"/>
      <c r="E409" s="276"/>
      <c r="F409" s="276"/>
    </row>
    <row r="410" spans="1:6" ht="15" hidden="1">
      <c r="A410" s="82"/>
      <c r="B410" s="18"/>
      <c r="C410" s="18"/>
      <c r="D410" s="276"/>
      <c r="E410" s="276"/>
      <c r="F410" s="276"/>
    </row>
    <row r="411" spans="1:6" ht="15" hidden="1">
      <c r="A411" s="82"/>
      <c r="B411" s="18"/>
      <c r="C411" s="18"/>
      <c r="D411" s="276"/>
      <c r="E411" s="276"/>
      <c r="F411" s="276"/>
    </row>
    <row r="412" spans="1:6" ht="15" hidden="1">
      <c r="A412" s="82"/>
      <c r="B412" s="18"/>
      <c r="C412" s="18"/>
      <c r="D412" s="276"/>
      <c r="E412" s="276"/>
      <c r="F412" s="276"/>
    </row>
    <row r="413" spans="1:6" ht="15" hidden="1">
      <c r="A413" s="82"/>
      <c r="B413" s="18"/>
      <c r="C413" s="18"/>
      <c r="D413" s="276"/>
      <c r="E413" s="276"/>
      <c r="F413" s="276"/>
    </row>
    <row r="414" spans="1:6" ht="15" hidden="1">
      <c r="A414" s="82"/>
      <c r="B414" s="18"/>
      <c r="C414" s="18"/>
      <c r="D414" s="276"/>
      <c r="E414" s="276"/>
      <c r="F414" s="276"/>
    </row>
    <row r="415" spans="1:6" ht="15" hidden="1">
      <c r="A415" s="82"/>
      <c r="B415" s="18"/>
      <c r="C415" s="18"/>
      <c r="D415" s="276"/>
      <c r="E415" s="276"/>
      <c r="F415" s="276"/>
    </row>
    <row r="416" spans="1:6" ht="15" hidden="1">
      <c r="A416" s="82"/>
      <c r="B416" s="18"/>
      <c r="C416" s="18"/>
      <c r="D416" s="276"/>
      <c r="E416" s="276"/>
      <c r="F416" s="276"/>
    </row>
    <row r="417" spans="1:6" ht="15" hidden="1">
      <c r="A417" s="82"/>
      <c r="B417" s="18"/>
      <c r="C417" s="18"/>
      <c r="D417" s="276"/>
      <c r="E417" s="276"/>
      <c r="F417" s="276"/>
    </row>
    <row r="418" spans="1:6" ht="15" hidden="1">
      <c r="A418" s="82"/>
      <c r="B418" s="18"/>
      <c r="C418" s="18"/>
      <c r="D418" s="276"/>
      <c r="E418" s="276"/>
      <c r="F418" s="276"/>
    </row>
    <row r="419" spans="1:6" ht="15" hidden="1">
      <c r="A419" s="82"/>
      <c r="B419" s="18"/>
      <c r="C419" s="18"/>
      <c r="D419" s="276"/>
      <c r="E419" s="276"/>
      <c r="F419" s="276"/>
    </row>
    <row r="420" spans="1:6" ht="15" hidden="1">
      <c r="A420" s="82"/>
      <c r="B420" s="18"/>
      <c r="C420" s="18"/>
      <c r="D420" s="276"/>
      <c r="E420" s="276"/>
      <c r="F420" s="276"/>
    </row>
    <row r="421" spans="1:6" ht="26.25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t="15" hidden="1">
      <c r="A422" s="82"/>
      <c r="B422" s="18"/>
      <c r="C422" s="18"/>
      <c r="D422" s="276"/>
      <c r="E422" s="276"/>
      <c r="F422" s="276"/>
    </row>
    <row r="423" spans="1:6" ht="15" hidden="1">
      <c r="A423" s="82"/>
      <c r="B423" s="18"/>
      <c r="C423" s="18"/>
      <c r="D423" s="276"/>
      <c r="E423" s="276"/>
      <c r="F423" s="276"/>
    </row>
    <row r="424" spans="1:6" ht="15" hidden="1">
      <c r="A424" s="82"/>
      <c r="B424" s="18"/>
      <c r="C424" s="18"/>
      <c r="D424" s="276"/>
      <c r="E424" s="276"/>
      <c r="F424" s="276"/>
    </row>
    <row r="425" spans="1:6" ht="15" hidden="1">
      <c r="A425" s="82"/>
      <c r="B425" s="18"/>
      <c r="C425" s="18"/>
      <c r="D425" s="276"/>
      <c r="E425" s="276"/>
      <c r="F425" s="276"/>
    </row>
    <row r="426" spans="1:6" ht="15" hidden="1">
      <c r="A426" s="82"/>
      <c r="B426" s="18"/>
      <c r="C426" s="18"/>
      <c r="D426" s="276"/>
      <c r="E426" s="276"/>
      <c r="F426" s="276"/>
    </row>
    <row r="427" spans="1:6" ht="15" hidden="1">
      <c r="A427" s="82"/>
      <c r="B427" s="18"/>
      <c r="C427" s="18"/>
      <c r="D427" s="276"/>
      <c r="E427" s="276"/>
      <c r="F427" s="276"/>
    </row>
    <row r="428" spans="1:6" ht="15" hidden="1">
      <c r="A428" s="82"/>
      <c r="B428" s="18"/>
      <c r="C428" s="18"/>
      <c r="D428" s="276"/>
      <c r="E428" s="276"/>
      <c r="F428" s="276"/>
    </row>
    <row r="429" spans="1:6" ht="15" hidden="1">
      <c r="A429" s="82"/>
      <c r="B429" s="18"/>
      <c r="C429" s="18"/>
      <c r="D429" s="276"/>
      <c r="E429" s="276"/>
      <c r="F429" s="276"/>
    </row>
    <row r="430" spans="1:6" ht="15" hidden="1">
      <c r="A430" s="82"/>
      <c r="B430" s="18"/>
      <c r="C430" s="18"/>
      <c r="D430" s="276"/>
      <c r="E430" s="276"/>
      <c r="F430" s="276"/>
    </row>
    <row r="431" spans="1:6" ht="15" hidden="1">
      <c r="A431" s="82"/>
      <c r="B431" s="18"/>
      <c r="C431" s="18"/>
      <c r="D431" s="276"/>
      <c r="E431" s="276"/>
      <c r="F431" s="276"/>
    </row>
    <row r="432" spans="1:6" ht="15" hidden="1">
      <c r="A432" s="82"/>
      <c r="B432" s="18"/>
      <c r="C432" s="18"/>
      <c r="D432" s="276"/>
      <c r="E432" s="276"/>
      <c r="F432" s="276"/>
    </row>
    <row r="433" spans="1:6" ht="15" hidden="1">
      <c r="A433" s="82"/>
      <c r="B433" s="18"/>
      <c r="C433" s="18"/>
      <c r="D433" s="276"/>
      <c r="E433" s="276"/>
      <c r="F433" s="276"/>
    </row>
    <row r="434" spans="1:6" ht="15" hidden="1">
      <c r="A434" s="82"/>
      <c r="B434" s="18"/>
      <c r="C434" s="18"/>
      <c r="D434" s="276"/>
      <c r="E434" s="276"/>
      <c r="F434" s="276"/>
    </row>
    <row r="435" spans="1:6" ht="15" hidden="1">
      <c r="A435" s="82"/>
      <c r="B435" s="18"/>
      <c r="C435" s="18"/>
      <c r="D435" s="276"/>
      <c r="E435" s="276"/>
      <c r="F435" s="276"/>
    </row>
    <row r="436" spans="1:6" ht="15" hidden="1">
      <c r="A436" s="82"/>
      <c r="B436" s="18"/>
      <c r="C436" s="18"/>
      <c r="D436" s="276"/>
      <c r="E436" s="276"/>
      <c r="F436" s="276"/>
    </row>
    <row r="437" spans="1:6" ht="15" hidden="1">
      <c r="A437" s="82"/>
      <c r="B437" s="18"/>
      <c r="C437" s="18"/>
      <c r="D437" s="276"/>
      <c r="E437" s="276"/>
      <c r="F437" s="276"/>
    </row>
    <row r="438" spans="1:6" ht="15" hidden="1">
      <c r="A438" s="82"/>
      <c r="B438" s="18"/>
      <c r="C438" s="18"/>
      <c r="D438" s="276"/>
      <c r="E438" s="276"/>
      <c r="F438" s="276"/>
    </row>
    <row r="439" spans="1:6" ht="15" hidden="1">
      <c r="A439" s="82"/>
      <c r="B439" s="18"/>
      <c r="C439" s="18"/>
      <c r="D439" s="276"/>
      <c r="E439" s="276"/>
      <c r="F439" s="276"/>
    </row>
    <row r="440" spans="1:6" ht="15" hidden="1">
      <c r="A440" s="82"/>
      <c r="B440" s="18"/>
      <c r="C440" s="18"/>
      <c r="D440" s="276"/>
      <c r="E440" s="276"/>
      <c r="F440" s="276"/>
    </row>
    <row r="441" spans="1:6" ht="15" hidden="1">
      <c r="A441" s="82"/>
      <c r="B441" s="18"/>
      <c r="C441" s="18"/>
      <c r="D441" s="276"/>
      <c r="E441" s="276"/>
      <c r="F441" s="276"/>
    </row>
    <row r="442" spans="1:6" ht="15" hidden="1">
      <c r="A442" s="82"/>
      <c r="B442" s="18"/>
      <c r="C442" s="18"/>
      <c r="D442" s="276"/>
      <c r="E442" s="276"/>
      <c r="F442" s="276"/>
    </row>
    <row r="443" spans="1:6" ht="15" hidden="1">
      <c r="A443" s="82"/>
      <c r="B443" s="18"/>
      <c r="C443" s="18"/>
      <c r="D443" s="276"/>
      <c r="E443" s="276"/>
      <c r="F443" s="276"/>
    </row>
    <row r="444" spans="1:6" ht="15" hidden="1">
      <c r="A444" s="82"/>
      <c r="B444" s="18"/>
      <c r="C444" s="18"/>
      <c r="D444" s="276"/>
      <c r="E444" s="276"/>
      <c r="F444" s="276"/>
    </row>
    <row r="445" spans="1:6" ht="15" hidden="1">
      <c r="A445" s="82"/>
      <c r="B445" s="18"/>
      <c r="C445" s="18"/>
      <c r="D445" s="276"/>
      <c r="E445" s="276"/>
      <c r="F445" s="276"/>
    </row>
    <row r="446" spans="1:6" ht="15" hidden="1">
      <c r="A446" s="82"/>
      <c r="B446" s="18"/>
      <c r="C446" s="18"/>
      <c r="D446" s="276"/>
      <c r="E446" s="276"/>
      <c r="F446" s="276"/>
    </row>
    <row r="447" spans="1:6" ht="15" hidden="1">
      <c r="A447" s="82"/>
      <c r="B447" s="18"/>
      <c r="C447" s="18"/>
      <c r="D447" s="276"/>
      <c r="E447" s="276"/>
      <c r="F447" s="276"/>
    </row>
    <row r="448" spans="1:6" ht="15" hidden="1">
      <c r="A448" s="82"/>
      <c r="B448" s="18"/>
      <c r="C448" s="18"/>
      <c r="D448" s="276"/>
      <c r="E448" s="276"/>
      <c r="F448" s="276"/>
    </row>
    <row r="449" spans="1:6" ht="15" hidden="1">
      <c r="A449" s="82"/>
      <c r="B449" s="18"/>
      <c r="C449" s="18"/>
      <c r="D449" s="276"/>
      <c r="E449" s="276"/>
      <c r="F449" s="276"/>
    </row>
    <row r="450" spans="1:6" ht="15" hidden="1">
      <c r="A450" s="82"/>
      <c r="B450" s="18"/>
      <c r="C450" s="18"/>
      <c r="D450" s="276"/>
      <c r="E450" s="276"/>
      <c r="F450" s="276"/>
    </row>
    <row r="451" spans="1:6" ht="15" hidden="1">
      <c r="A451" s="82"/>
      <c r="B451" s="18"/>
      <c r="C451" s="18"/>
      <c r="D451" s="276"/>
      <c r="E451" s="276"/>
      <c r="F451" s="276"/>
    </row>
    <row r="452" spans="1:6" ht="15" hidden="1">
      <c r="A452" s="82"/>
      <c r="B452" s="18"/>
      <c r="C452" s="18"/>
      <c r="D452" s="276"/>
      <c r="E452" s="276"/>
      <c r="F452" s="276"/>
    </row>
    <row r="453" spans="1:6" ht="15" hidden="1">
      <c r="A453" s="82"/>
      <c r="B453" s="18"/>
      <c r="C453" s="18"/>
      <c r="D453" s="276"/>
      <c r="E453" s="276"/>
      <c r="F453" s="276"/>
    </row>
    <row r="454" spans="1:6" ht="15" hidden="1">
      <c r="A454" s="82"/>
      <c r="B454" s="18"/>
      <c r="C454" s="18"/>
      <c r="D454" s="276"/>
      <c r="E454" s="276"/>
      <c r="F454" s="276"/>
    </row>
    <row r="455" spans="1:6" ht="15" hidden="1">
      <c r="A455" s="82"/>
      <c r="B455" s="18"/>
      <c r="C455" s="18"/>
      <c r="D455" s="276"/>
      <c r="E455" s="276"/>
      <c r="F455" s="276"/>
    </row>
    <row r="456" spans="1:6" ht="15" hidden="1">
      <c r="A456" s="82"/>
      <c r="B456" s="18"/>
      <c r="C456" s="18"/>
      <c r="D456" s="276"/>
      <c r="E456" s="276"/>
      <c r="F456" s="276"/>
    </row>
    <row r="457" spans="1:6" ht="15" hidden="1">
      <c r="A457" s="82"/>
      <c r="B457" s="18"/>
      <c r="C457" s="18"/>
      <c r="D457" s="276"/>
      <c r="E457" s="276"/>
      <c r="F457" s="276"/>
    </row>
    <row r="458" spans="1:6" ht="15" hidden="1">
      <c r="A458" s="82"/>
      <c r="B458" s="18"/>
      <c r="C458" s="18"/>
      <c r="D458" s="276"/>
      <c r="E458" s="276"/>
      <c r="F458" s="276"/>
    </row>
    <row r="459" spans="1:6" ht="15" hidden="1">
      <c r="A459" s="82"/>
      <c r="B459" s="18"/>
      <c r="C459" s="18"/>
      <c r="D459" s="276"/>
      <c r="E459" s="276"/>
      <c r="F459" s="276"/>
    </row>
    <row r="460" spans="1:6" ht="15" hidden="1">
      <c r="A460" s="82"/>
      <c r="B460" s="18"/>
      <c r="C460" s="18"/>
      <c r="D460" s="276"/>
      <c r="E460" s="276"/>
      <c r="F460" s="276"/>
    </row>
    <row r="461" spans="1:6" ht="15" hidden="1">
      <c r="A461" s="82"/>
      <c r="B461" s="18"/>
      <c r="C461" s="18"/>
      <c r="D461" s="276"/>
      <c r="E461" s="276"/>
      <c r="F461" s="276"/>
    </row>
    <row r="462" spans="1:6" ht="15" hidden="1">
      <c r="A462" s="82"/>
      <c r="B462" s="18"/>
      <c r="C462" s="18"/>
      <c r="D462" s="276"/>
      <c r="E462" s="276"/>
      <c r="F462" s="276"/>
    </row>
    <row r="463" spans="1:6" ht="15" hidden="1">
      <c r="A463" s="82"/>
      <c r="B463" s="18"/>
      <c r="C463" s="18"/>
      <c r="D463" s="276"/>
      <c r="E463" s="276"/>
      <c r="F463" s="276"/>
    </row>
    <row r="464" spans="1:6" ht="15" hidden="1">
      <c r="A464" s="82"/>
      <c r="B464" s="18"/>
      <c r="C464" s="18"/>
      <c r="D464" s="276"/>
      <c r="E464" s="276"/>
      <c r="F464" s="276"/>
    </row>
    <row r="465" spans="1:6" ht="15" hidden="1">
      <c r="A465" s="82"/>
      <c r="B465" s="18"/>
      <c r="C465" s="18"/>
      <c r="D465" s="276"/>
      <c r="E465" s="276"/>
      <c r="F465" s="276"/>
    </row>
    <row r="466" spans="1:6" ht="15" hidden="1">
      <c r="A466" s="82"/>
      <c r="B466" s="18"/>
      <c r="C466" s="18"/>
      <c r="D466" s="276"/>
      <c r="E466" s="276"/>
      <c r="F466" s="276"/>
    </row>
    <row r="467" spans="1:6" ht="15" hidden="1">
      <c r="A467" s="82"/>
      <c r="B467" s="18"/>
      <c r="C467" s="18"/>
      <c r="D467" s="276"/>
      <c r="E467" s="276"/>
      <c r="F467" s="276"/>
    </row>
    <row r="468" spans="1:6" ht="15" hidden="1">
      <c r="A468" s="82"/>
      <c r="B468" s="18"/>
      <c r="C468" s="18"/>
      <c r="D468" s="276"/>
      <c r="E468" s="276"/>
      <c r="F468" s="276"/>
    </row>
    <row r="469" spans="1:6" ht="15" hidden="1">
      <c r="A469" s="82"/>
      <c r="B469" s="18"/>
      <c r="C469" s="18"/>
      <c r="D469" s="276"/>
      <c r="E469" s="276"/>
      <c r="F469" s="276"/>
    </row>
    <row r="470" spans="1:7" ht="15" hidden="1">
      <c r="A470" s="82"/>
      <c r="B470" s="18"/>
      <c r="C470" s="18"/>
      <c r="D470" s="276"/>
      <c r="E470" s="276"/>
      <c r="F470" s="276"/>
      <c r="G470">
        <v>1</v>
      </c>
    </row>
    <row r="471" spans="1:7" ht="15" hidden="1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t="15" hidden="1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t="15" hidden="1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t="15" hidden="1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t="15" hidden="1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t="15" hidden="1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t="15" hidden="1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t="15" hidden="1">
      <c r="A478" s="82"/>
      <c r="B478" s="18"/>
      <c r="C478" s="18"/>
      <c r="D478" s="276"/>
      <c r="E478" s="276"/>
      <c r="F478" s="276"/>
      <c r="G478">
        <v>1</v>
      </c>
    </row>
    <row r="479" spans="1:7" ht="15" hidden="1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t="15" hidden="1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t="15" hidden="1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t="15" hidden="1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t="15" hidden="1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t="15" hidden="1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t="15" hidden="1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t="15" hidden="1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t="15" hidden="1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t="15" hidden="1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t="15" hidden="1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t="15" hidden="1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t="15" hidden="1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t="15" hidden="1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t="15" hidden="1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t="15" hidden="1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t="15" hidden="1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t="15" hidden="1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t="15" hidden="1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t="15" hidden="1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t="15" hidden="1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t="15" hidden="1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t="15" hidden="1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t="15" hidden="1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t="15" hidden="1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t="15" hidden="1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t="15" hidden="1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t="15" hidden="1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t="15" hidden="1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t="15" hidden="1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t="15" hidden="1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t="15" hidden="1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t="15" hidden="1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t="15" hidden="1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t="15" hidden="1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t="15" hidden="1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t="15" hidden="1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t="15" hidden="1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'Programador de lavado, placas y recuperadores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orientation="portrait" paperSize="1" scale="60" r:id="rId16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" name="Option Button 1">
              <controlPr defaultSize="0" autoLine="0" autoPict="0">
                <macro>[0]!limpiarunidadespresu</macro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2" name="Option Button 3">
              <controlPr defaultSize="0" autoLine="0" autoPict="0">
                <macro>[0]!limpiarBombas</macro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3" name="Option Button 4">
              <controlPr defaultSize="0" autoLine="0" autoPict="0">
                <macro>[0]!LimpiarPulsadoPresu</macro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Option Button 6">
              <controlPr defaultSize="0" autoLine="0" autoPict="0">
                <macro>[0]!limpiarplacapresu</macro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Option Button 7">
              <controlPr defaultSize="0" autoLine="0" autoPict="0">
                <macro>[0]!limpiarUFpresu</macro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Option Button 8">
              <controlPr defaultSize="0" autoLine="0" autoPict="0">
                <macro>[0]!limpiarextrapresu</macro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Option Button 13">
              <controlPr defaultSize="0" autoLine="0" autoPict="0">
                <macro>[0]!limpiarisopresu</macro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Button 14">
              <controlPr defaultSize="0" print="0" autoLine="0" autoPict="0">
                <macro>[0]!compactar</macro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1</xdr:col>
                    <xdr:colOff>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Button 15">
              <controlPr defaultSize="0" print="0" autoLine="0" autoPict="0">
                <macro>[0]!descompactar</macro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1</xdr:col>
                    <xdr:colOff>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Button 16">
              <controlPr defaultSize="0" print="0" autoLine="0" autoPict="0">
                <macro>[0]!packinglist</macro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Button 17">
              <controlPr defaultSize="0" print="0" autoLine="0" autoPict="0">
                <macro>[0]!presupuesto</macro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Option Button 18">
              <controlPr defaultSize="0" autoLine="0" autoPict="0">
                <macro>[0]!limpiarRobotpresu</macro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3" name="Option Button 20">
              <controlPr defaultSize="0" autoLine="0" autoPict="0">
                <macro>[0]!limpiarcaneria</macro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B1:P33"/>
  <sheetViews>
    <sheetView zoomScale="85" zoomScaleNormal="85" workbookViewId="0" topLeftCell="A1">
      <selection pane="topLeft" activeCell="K5" sqref="K5:P32"/>
    </sheetView>
  </sheetViews>
  <sheetFormatPr defaultColWidth="8.714285714285714" defaultRowHeight="15"/>
  <cols>
    <col min="2" max="2" width="21.714285714285715" bestFit="1" customWidth="1"/>
    <col min="3" max="3" width="47.714285714285715" bestFit="1" customWidth="1"/>
    <col min="4" max="4" width="7.285714285714286" bestFit="1" customWidth="1"/>
    <col min="5" max="5" width="10" bestFit="1" customWidth="1"/>
    <col min="6" max="6" width="6.142857142857143" bestFit="1" customWidth="1"/>
    <col min="7" max="7" width="12.285714285714286" customWidth="1"/>
    <col min="12" max="12" width="53.42857142857143" bestFit="1" customWidth="1"/>
    <col min="13" max="13" width="5.142857142857143" bestFit="1" customWidth="1"/>
    <col min="14" max="14" width="10.285714285714286" bestFit="1" customWidth="1"/>
    <col min="15" max="15" width="8.714285714285714" customWidth="1"/>
    <col min="16" max="16" width="12.571428571428571" customWidth="1"/>
    <col min="17" max="17" width="14.857142857142858" customWidth="1"/>
    <col min="18" max="18" width="55.142857142857146" customWidth="1"/>
  </cols>
  <sheetData>
    <row r="1" spans="2:4" ht="1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9" ht="21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7" ht="15.75" thickBot="1">
      <c r="B4" s="1" t="s">
        <v>0</v>
      </c>
      <c r="C4" s="463" t="s">
        <v>1</v>
      </c>
      <c r="D4" s="463"/>
      <c r="E4" s="463"/>
      <c r="F4" s="463"/>
      <c r="G4" s="464"/>
    </row>
    <row r="5" spans="2:16" ht="1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ht="1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si="0" ref="G6:G13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ht="1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ht="1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ht="1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ht="1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ht="1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t="15" hidden="1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7" ht="15.75" thickBot="1">
      <c r="B14" s="1" t="s">
        <v>0</v>
      </c>
      <c r="C14" s="463" t="s">
        <v>2</v>
      </c>
      <c r="D14" s="463"/>
      <c r="E14" s="463"/>
      <c r="F14" s="463"/>
      <c r="G14" s="464"/>
    </row>
    <row r="15" spans="2:7" ht="24" customHeight="1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7" ht="1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si="1" ref="G16:G23">E16/D16*F16</f>
        <v>199.47582236842101</v>
      </c>
    </row>
    <row r="17" spans="2:7" ht="1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7" ht="1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7" ht="1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7" ht="1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7" ht="1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7" ht="1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7" ht="85.5" customHeight="1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7" ht="15">
      <c r="B24" s="12"/>
      <c r="C24" s="12"/>
      <c r="D24" s="12"/>
      <c r="E24" s="12"/>
      <c r="F24" s="12"/>
      <c r="G24" s="12"/>
    </row>
    <row r="25" spans="2:7" ht="15.75" thickBot="1">
      <c r="B25" s="1" t="s">
        <v>0</v>
      </c>
      <c r="C25" s="463" t="s">
        <v>3</v>
      </c>
      <c r="D25" s="463"/>
      <c r="E25" s="463"/>
      <c r="F25" s="463"/>
      <c r="G25" s="464"/>
    </row>
    <row r="26" spans="2:16" ht="1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ht="1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si="2" ref="G27:G3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ht="1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ht="1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ht="1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ht="1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ht="1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ht="1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paperSize="1" r:id="rId10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" name="Option Button 1">
              <controlPr defaultSize="0" autoLine="0" autoPict="0">
                <macro>[0]!Macro2</macro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" name="Option Button 2">
              <controlPr defaultSize="0" autoLine="0" autoPict="0">
                <macro>[0]!limpiar1</macro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" name="Option Button 4">
              <controlPr defaultSize="0" autoLine="0" autoPict="0">
                <macro>[0]!Macro3</macro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Option Button 6">
              <controlPr defaultSize="0" autoLine="0" autoPict="0">
                <macro>[0]!Macro4</macro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Option Button 10">
              <controlPr defaultSize="0" autoLine="0" autoPict="0">
                <macro>[0]!limpiar2</macro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Option Button 11">
              <controlPr defaultSize="0" autoLine="0" autoPict="0">
                <macro>[0]!limpiar3</macro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Option Button 13">
              <controlPr defaultSize="0" autoLine="0" autoPict="0">
                <macro>[0]!llevarunidadespresu</macro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2:P99"/>
  <sheetViews>
    <sheetView workbookViewId="0" topLeftCell="A1">
      <selection pane="topLeft" activeCell="K5" sqref="K5:P99"/>
    </sheetView>
  </sheetViews>
  <sheetFormatPr defaultColWidth="8.714285714285714" defaultRowHeight="15"/>
  <cols>
    <col min="2" max="2" width="10.428571428571429" style="281" bestFit="1" customWidth="1"/>
    <col min="3" max="3" width="53.57142857142857" bestFit="1" customWidth="1"/>
    <col min="4" max="4" width="2" bestFit="1" customWidth="1"/>
    <col min="5" max="5" width="11" bestFit="1" customWidth="1"/>
    <col min="6" max="6" width="4.428571428571429" bestFit="1" customWidth="1"/>
    <col min="7" max="7" width="11" bestFit="1" customWidth="1"/>
    <col min="12" max="12" width="47.42857142857143" bestFit="1" customWidth="1"/>
    <col min="14" max="14" width="10" bestFit="1" customWidth="1"/>
    <col min="16" max="16" width="10" bestFit="1" customWidth="1"/>
  </cols>
  <sheetData>
    <row r="2" spans="9:9" ht="21">
      <c r="I2" s="156" t="s">
        <v>1879</v>
      </c>
    </row>
    <row r="3" spans="2:7" ht="15.75" thickBot="1">
      <c r="B3" s="282" t="s">
        <v>0</v>
      </c>
      <c r="C3" s="463" t="s">
        <v>13</v>
      </c>
      <c r="D3" s="463"/>
      <c r="E3" s="463"/>
      <c r="F3" s="463"/>
      <c r="G3" s="464"/>
    </row>
    <row r="4" spans="2:7" ht="1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7" ht="1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7" ht="1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7" ht="1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7" ht="1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7" ht="1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7" ht="1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si="0" ref="G10:G15">E10/D10*F10</f>
        <v>1786.3927179276316</v>
      </c>
    </row>
    <row r="11" spans="2:7" ht="1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7" ht="1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7" ht="1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7" ht="1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7" ht="1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7" ht="15.75" thickBot="1">
      <c r="B16" s="282" t="s">
        <v>0</v>
      </c>
      <c r="C16" s="463" t="s">
        <v>14</v>
      </c>
      <c r="D16" s="463"/>
      <c r="E16" s="463"/>
      <c r="F16" s="463"/>
      <c r="G16" s="464"/>
    </row>
    <row r="17" spans="2:7" ht="1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si="1" ref="G17:G27">E17/D17*F17</f>
        <v>10587.070861430922</v>
      </c>
    </row>
    <row r="18" spans="2:7" ht="1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ht="1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ht="1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ht="1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ht="1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ht="1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ht="1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ht="1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ht="1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ht="1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>
      <c r="B28" s="282" t="s">
        <v>0</v>
      </c>
      <c r="C28" s="463" t="s">
        <v>15</v>
      </c>
      <c r="D28" s="463"/>
      <c r="E28" s="463"/>
      <c r="F28" s="463"/>
      <c r="G28" s="464"/>
    </row>
    <row r="29" spans="2:7" ht="1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si="2" ref="G29:G39">E29/D29*F29</f>
        <v>11503.969429070725</v>
      </c>
    </row>
    <row r="30" spans="2:7" ht="1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ht="1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ht="1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ht="1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ht="1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ht="1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ht="1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ht="1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ht="1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ht="1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>
      <c r="B40" s="282" t="s">
        <v>0</v>
      </c>
      <c r="C40" s="463" t="s">
        <v>2213</v>
      </c>
      <c r="D40" s="463"/>
      <c r="E40" s="463"/>
      <c r="F40" s="463"/>
      <c r="G40" s="464"/>
    </row>
    <row r="41" spans="2:7" ht="1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ht="1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ht="1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ht="1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ht="1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>
      <c r="B46" s="282" t="s">
        <v>0</v>
      </c>
      <c r="C46" s="463" t="s">
        <v>2214</v>
      </c>
      <c r="D46" s="463"/>
      <c r="E46" s="463"/>
      <c r="F46" s="463"/>
      <c r="G46" s="464"/>
    </row>
    <row r="47" spans="2:7" ht="1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ht="1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ht="1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ht="1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ht="1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>
      <c r="B52" s="282" t="s">
        <v>0</v>
      </c>
      <c r="C52" s="463" t="s">
        <v>2215</v>
      </c>
      <c r="D52" s="463"/>
      <c r="E52" s="463"/>
      <c r="F52" s="463"/>
      <c r="G52" s="464"/>
    </row>
    <row r="53" spans="2:7" ht="1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ht="1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ht="1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ht="1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ht="1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>
      <c r="B58" s="282" t="s">
        <v>0</v>
      </c>
      <c r="C58" s="463" t="s">
        <v>18</v>
      </c>
      <c r="D58" s="463"/>
      <c r="E58" s="463"/>
      <c r="F58" s="463"/>
      <c r="G58" s="464"/>
    </row>
    <row r="59" spans="2:7" ht="1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ht="1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si="3" ref="G60:G71">E60/D60*F60</f>
        <v>9.2017775968518887</v>
      </c>
    </row>
    <row r="61" spans="2:7" ht="1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ht="1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ht="1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ht="1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7" ht="1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7" ht="1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7" ht="1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7" ht="1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7" ht="1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7" ht="1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7" ht="1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7" ht="15.75" thickBot="1">
      <c r="B72" s="282" t="s">
        <v>0</v>
      </c>
      <c r="C72" s="463" t="s">
        <v>27</v>
      </c>
      <c r="D72" s="463"/>
      <c r="E72" s="463"/>
      <c r="F72" s="463"/>
      <c r="G72" s="464"/>
    </row>
    <row r="73" spans="2:16" ht="1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ht="1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si="4" ref="G74:G85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ht="1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ht="1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ht="1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ht="1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ht="1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ht="1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ht="1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ht="1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ht="1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ht="1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ht="1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7" ht="15.75" thickBot="1">
      <c r="B86" s="282" t="s">
        <v>0</v>
      </c>
      <c r="C86" s="463" t="s">
        <v>1824</v>
      </c>
      <c r="D86" s="463"/>
      <c r="E86" s="463"/>
      <c r="F86" s="463"/>
      <c r="G86" s="464"/>
    </row>
    <row r="87" spans="2:7" ht="1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7" ht="1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si="5" ref="G88:G99">E88/D88*F88</f>
        <v>8.2560393438421098</v>
      </c>
    </row>
    <row r="89" spans="2:7" ht="1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7" ht="1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7" ht="1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7" ht="1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7" ht="1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7" ht="1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7" ht="1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7" ht="1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ht="1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ht="1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ht="1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priority="1" dxfId="34"/>
  </conditionalFormatting>
  <hyperlinks>
    <hyperlink ref="I2" location="presu!A1" display="Presupuesto"/>
  </hyperlinks>
  <pageMargins left="0.7" right="0.7" top="0.75" bottom="0.75" header="0.3" footer="0.3"/>
  <pageSetup orientation="portrait" paperSize="1" r:id="rId22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1" name="Option Button 3">
              <controlPr defaultSize="0" autoLine="0" autoPict="0">
                <macro>[0]!bomba1</macro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2" name="Option Button 4">
              <controlPr defaultSize="0" autoLine="0" autoPict="0">
                <macro>[0]!limpiabomba1</macro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" name="Option Button 7">
              <controlPr defaultSize="0" autoLine="0" autoPict="0">
                <macro>[0]!bomba2</macro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Option Button 8">
              <controlPr defaultSize="0" autoLine="0" autoPict="0">
                <macro>[0]!limpiabomba2</macro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Option Button 9">
              <controlPr defaultSize="0" autoLine="0" autoPict="0">
                <macro>[0]!bomba3</macro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Option Button 10">
              <controlPr defaultSize="0" autoLine="0" autoPict="0">
                <macro>[0]!limpiabomba3</macro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Option Button 11">
              <controlPr defaultSize="0" autoLine="0" autoPict="0">
                <macro>[0]!moverbombas4</macro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Option Button 12">
              <controlPr defaultSize="0" autoLine="0" autoPict="0">
                <macro>[0]!limpiabomba4</macro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9" name="Option Button 13">
              <controlPr defaultSize="0" autoLine="0" autoPict="0">
                <macro>[0]!bomba5</macro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0" name="Option Button 14">
              <controlPr defaultSize="0" autoLine="0" autoPict="0">
                <macro>[0]!limpiabomba5</macro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1" name="Option Button 17">
              <controlPr defaultSize="0" autoLine="0" autoPict="0">
                <macro>[0]!bomba6</macro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2" name="Option Button 18">
              <controlPr defaultSize="0" autoLine="0" autoPict="0">
                <macro>[0]!limpiabomba6</macro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3" name="Option Button 19">
              <controlPr defaultSize="0" autoLine="0" autoPict="0">
                <macro>[0]!bomba7</macro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4" name="Option Button 20">
              <controlPr defaultSize="0" autoLine="0" autoPict="0">
                <macro>[0]!limpiabomba7</macro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5" name="Option Button 21">
              <controlPr defaultSize="0" autoLine="0" autoPict="0">
                <macro>[0]!bomba8</macro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6" name="Option Button 22">
              <controlPr defaultSize="0" autoLine="0" autoPict="0">
                <macro>[0]!limpiabomba8</macro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7" name="Option Button 23">
              <controlPr defaultSize="0" autoLine="0" autoPict="0">
                <macro>[0]!moverbombasapresu</macro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8" name="Option Button 24">
              <controlPr defaultSize="0" autoLine="0" autoPict="0">
                <macro>[0]!copiarm3</macro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19" name="Option Button 26">
              <controlPr defaultSize="0" autoLine="0" autoPict="0">
                <macro>[0]!limpiarm3</macro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K16"/>
  <sheetViews>
    <sheetView workbookViewId="0" topLeftCell="A1">
      <selection pane="topLeft" activeCell="K7" sqref="K7:P9"/>
    </sheetView>
  </sheetViews>
  <sheetFormatPr defaultColWidth="8.714285714285714" defaultRowHeight="15"/>
  <cols>
    <col min="2" max="2" width="21.714285714285715" bestFit="1" customWidth="1"/>
    <col min="3" max="3" width="42.285714285714285" bestFit="1" customWidth="1"/>
    <col min="4" max="4" width="7.285714285714286" bestFit="1" customWidth="1"/>
    <col min="5" max="5" width="10" bestFit="1" customWidth="1"/>
    <col min="6" max="6" width="7.285714285714286" bestFit="1" customWidth="1"/>
    <col min="7" max="7" width="10" bestFit="1" customWidth="1"/>
    <col min="11" max="11" width="8" bestFit="1" customWidth="1"/>
    <col min="12" max="12" width="56.142857142857146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8" ht="21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4" ht="1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7" ht="15.75" thickBot="1">
      <c r="B6" s="1" t="s">
        <v>0</v>
      </c>
      <c r="C6" s="463" t="s">
        <v>58</v>
      </c>
      <c r="D6" s="463"/>
      <c r="E6" s="463"/>
      <c r="F6" s="463"/>
      <c r="G6" s="464"/>
    </row>
    <row r="7" spans="2:7" ht="1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7" ht="1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7" ht="1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ht="15">
      <c r="B10" s="59"/>
      <c r="K10" s="81"/>
    </row>
    <row r="11" spans="2:11" ht="15">
      <c r="B11" s="59"/>
      <c r="K11" s="81"/>
    </row>
    <row r="12" spans="2:7" ht="1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7" ht="1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7" ht="1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7" ht="1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7" ht="1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1" name="Option Button 52">
              <controlPr defaultSize="0" autoLine="0" autoPict="0">
                <macro>[0]!COPIARPULSADO</macro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10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2" name="Option Button 55">
              <controlPr defaultSize="0" autoLine="0" autoPict="0">
                <macro>[0]!LIMPIARPULSADO</macro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3" name="Option Button 62">
              <controlPr defaultSize="0" autoLine="0" autoPict="0">
                <macro>[0]!LIMPIARFILTRADO</macro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10</xdr:col>
                    <xdr:colOff>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4" name="Option Button 66">
              <controlPr defaultSize="0" autoLine="0" autoPict="0">
                <macro>[0]!COPIARFILTRADO</macro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5" name="Option Button 106">
              <controlPr defaultSize="0" autoLine="0" autoPict="0">
                <macro>[0]!llevarpulsado</macro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2:T59"/>
  <sheetViews>
    <sheetView workbookViewId="0" topLeftCell="A1">
      <pane xSplit="3" ySplit="6" topLeftCell="F7" activePane="bottomRight" state="frozen"/>
      <selection pane="topLeft" activeCell="A1" sqref="A1"/>
      <selection pane="bottomLeft" activeCell="A7" sqref="A7"/>
      <selection pane="topRight" activeCell="D1" sqref="D1"/>
      <selection pane="bottomRight" activeCell="L7" sqref="L7:Q56"/>
    </sheetView>
  </sheetViews>
  <sheetFormatPr defaultColWidth="8.714285714285714" defaultRowHeight="15"/>
  <cols>
    <col min="2" max="2" width="8" bestFit="1" customWidth="1"/>
    <col min="3" max="3" width="54.57142857142857" customWidth="1"/>
    <col min="4" max="4" width="4.714285714285714" bestFit="1" customWidth="1"/>
    <col min="5" max="5" width="11" style="311" bestFit="1" customWidth="1"/>
    <col min="6" max="6" width="6.571428571428571" bestFit="1" customWidth="1"/>
    <col min="7" max="7" width="11" style="311" bestFit="1" customWidth="1"/>
    <col min="11" max="11" width="8" bestFit="1" customWidth="1"/>
    <col min="12" max="12" width="10.285714285714286" customWidth="1"/>
    <col min="13" max="13" width="24.571428571428573" bestFit="1" customWidth="1"/>
    <col min="14" max="14" width="1.8571428571428572" bestFit="1" customWidth="1"/>
    <col min="15" max="15" width="9.428571428571429" style="56" bestFit="1" customWidth="1"/>
    <col min="16" max="16" width="4.428571428571429" style="56" bestFit="1" customWidth="1"/>
    <col min="17" max="17" width="8.714285714285714" style="56"/>
  </cols>
  <sheetData>
    <row r="2" spans="10:10" ht="21">
      <c r="J2" s="156" t="s">
        <v>1879</v>
      </c>
    </row>
    <row r="4" ht="15.75" thickBot="1"/>
    <row r="5" spans="2:7" ht="15">
      <c r="B5" s="465" t="s">
        <v>1811</v>
      </c>
      <c r="C5" s="466"/>
      <c r="D5" s="466"/>
      <c r="E5" s="466"/>
      <c r="F5" s="466"/>
      <c r="G5" s="467"/>
    </row>
    <row r="6" spans="2:17" ht="16.5" thickBot="1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ht="1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si="0" ref="L7:O1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17" ht="1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ht="1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17" ht="1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8" ht="15.75" thickBot="1">
      <c r="B11" s="64"/>
      <c r="C11" s="64"/>
      <c r="D11" s="64"/>
      <c r="E11" s="314"/>
      <c r="F11" s="64"/>
      <c r="G11" s="314"/>
      <c r="H11" s="80"/>
    </row>
    <row r="12" spans="2:12" ht="1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8" ht="15.75" thickBot="1">
      <c r="B13" s="468"/>
      <c r="C13" s="469"/>
      <c r="D13" s="469"/>
      <c r="E13" s="469"/>
      <c r="F13" s="469"/>
      <c r="G13" s="470"/>
      <c r="H13" s="80"/>
    </row>
    <row r="14" spans="2:20" ht="1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si="1" ref="L14:O15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ht="1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8" ht="15.75" thickBot="1">
      <c r="B16" s="64"/>
      <c r="C16" s="64"/>
      <c r="D16" s="64"/>
      <c r="E16" s="314"/>
      <c r="F16" s="64"/>
      <c r="G16" s="314"/>
      <c r="H16" s="80"/>
    </row>
    <row r="17" spans="2:8" ht="21">
      <c r="B17" s="65"/>
      <c r="C17" s="471" t="s">
        <v>1817</v>
      </c>
      <c r="D17" s="471"/>
      <c r="E17" s="471"/>
      <c r="F17" s="471"/>
      <c r="G17" s="472"/>
      <c r="H17" s="80"/>
    </row>
    <row r="18" spans="2:13" ht="15.75" thickBot="1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ht="1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si="2" ref="L19:L25">+IF($H19&lt;&gt;0,B19,"")</f>
        <v/>
      </c>
      <c r="M19" t="str">
        <f t="shared" si="3" ref="M19:M25">+IF($H19&lt;&gt;0,C19,"")</f>
        <v/>
      </c>
      <c r="N19" t="str">
        <f t="shared" si="4" ref="N19:N25">+IF($H19&lt;&gt;0,D19,"")</f>
        <v/>
      </c>
      <c r="O19" s="56" t="str">
        <f t="shared" si="5" ref="O19:O25">+IF($H19&lt;&gt;0,E19,"")</f>
        <v/>
      </c>
      <c r="P19" s="56" t="str">
        <f t="shared" si="6" ref="P19:P25">IF(H19&lt;1,"",H19)</f>
        <v/>
      </c>
      <c r="Q19" s="56" t="str">
        <f>IF(H19&lt;1,"",+P19*O19)</f>
        <v/>
      </c>
      <c r="T19" t="s">
        <v>2088</v>
      </c>
    </row>
    <row r="20" spans="2:17" ht="1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17" ht="1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17" ht="1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17" ht="1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17" ht="1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17" ht="1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8" ht="15.75" thickBot="1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ht="1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si="7" ref="L27:L28">+IF($H27&lt;&gt;0,B27,"")</f>
        <v>8511499</v>
      </c>
      <c r="M27" t="str">
        <f t="shared" si="8" ref="M27:M28">+IF($H27&lt;&gt;0,C27,"")</f>
        <v>Programador de lavado (KIT,GUARDIAN,ECON,0.75,L/A.I.)</v>
      </c>
      <c r="N27">
        <f t="shared" si="9" ref="N27:N28">+IF($H27&lt;&gt;0,D27,"")</f>
        <v>1</v>
      </c>
      <c r="O27" s="56">
        <f t="shared" si="10" ref="O27:O28">+IF($H27&lt;&gt;0,E27,"")</f>
        <v>8801.2821576286769</v>
      </c>
      <c r="P27" s="56">
        <f t="shared" si="11" ref="P27:P28">IF(H27&lt;1,"",H27)</f>
        <v>1</v>
      </c>
      <c r="Q27" s="56">
        <f>IF(H27&lt;1,"",+P27*O27)</f>
        <v>8801.2821576286769</v>
      </c>
      <c r="T27" t="s">
        <v>2089</v>
      </c>
    </row>
    <row r="28" spans="2:17" ht="1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10" ht="1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8" ht="1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8" ht="1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11" ht="1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8" ht="1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8" ht="15.75" thickBot="1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ht="1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si="12" ref="L35:L42">+IF($H35&lt;&gt;0,B35,"")</f>
        <v/>
      </c>
      <c r="M35" t="str">
        <f t="shared" si="13" ref="M35:M42">+IF($H35&lt;&gt;0,C35,"")</f>
        <v/>
      </c>
      <c r="N35" t="str">
        <f>+IF($H35&lt;&gt;0,F35,"")</f>
        <v/>
      </c>
      <c r="O35" s="56" t="str">
        <f t="shared" si="14" ref="O35:O42">+IF($H35&lt;&gt;0,E35,"")</f>
        <v/>
      </c>
      <c r="P35" s="56" t="str">
        <f t="shared" si="15" ref="P35:P42">IF(H35&lt;1,"",H35)</f>
        <v/>
      </c>
      <c r="Q35" s="56" t="str">
        <f>IF(H35&lt;1,"",+P35*O35)</f>
        <v/>
      </c>
      <c r="T35" t="s">
        <v>2091</v>
      </c>
    </row>
    <row r="36" spans="2:17" ht="1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17" ht="1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si="16" ref="N37:N42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17" ht="1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17" ht="1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17" ht="1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17" ht="1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17" ht="1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8" ht="15.75" thickBot="1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ht="1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si="17" ref="L44:L51">+IF($H44&lt;&gt;0,B44,"")</f>
        <v/>
      </c>
      <c r="M44" t="str">
        <f t="shared" si="18" ref="M44:M51">+IF($H44&lt;&gt;0,C44,"")</f>
        <v/>
      </c>
      <c r="N44" t="str">
        <f t="shared" si="19" ref="N44:N51">+IF($H44&lt;&gt;0,D44,"")</f>
        <v/>
      </c>
      <c r="O44" s="56" t="str">
        <f t="shared" si="20" ref="O44:O51">+IF($H44&lt;&gt;0,E44,"")</f>
        <v/>
      </c>
      <c r="P44" s="56" t="str">
        <f t="shared" si="21" ref="P44:P52">IF(H44&lt;1,"",H44)</f>
        <v/>
      </c>
      <c r="Q44" s="56" t="str">
        <f>IF(H44&lt;1,"",+P44*O44)</f>
        <v/>
      </c>
      <c r="T44" t="s">
        <v>2090</v>
      </c>
    </row>
    <row r="45" spans="2:17" ht="1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17" ht="1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17" ht="1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si="22" ref="Q47:Q52">IF(H47&lt;1,"","")</f>
        <v/>
      </c>
    </row>
    <row r="48" spans="2:17" ht="1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17" ht="1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17" ht="1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17" ht="15.75" thickBot="1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17" ht="1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8" ht="15.75" thickBot="1">
      <c r="B53" s="468"/>
      <c r="C53" s="469"/>
      <c r="D53" s="469"/>
      <c r="E53" s="469"/>
      <c r="F53" s="469"/>
      <c r="G53" s="470"/>
      <c r="H53" s="80"/>
    </row>
    <row r="54" spans="2:20" ht="1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si="23" ref="L54:O56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ht="1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ht="1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13:17" ht="1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13:17" ht="1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14:17" ht="1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priority="4" dxfId="34"/>
  </conditionalFormatting>
  <conditionalFormatting sqref="B29">
    <cfRule type="duplicateValues" priority="3" dxfId="34"/>
  </conditionalFormatting>
  <conditionalFormatting sqref="B38">
    <cfRule type="duplicateValues" priority="2" dxfId="34"/>
  </conditionalFormatting>
  <conditionalFormatting sqref="B47">
    <cfRule type="duplicateValues" priority="1" dxfId="34"/>
  </conditionalFormatting>
  <hyperlinks>
    <hyperlink ref="J2" location="presu!A1" display="Presupuesto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1" name="Option Button 2">
              <controlPr defaultSize="0" autoLine="0" autoPict="0">
                <macro>[0]!llevaralpresuplaca</macro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13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" name="Option Button 3">
              <controlPr defaultSize="0" autoLine="0" autoPict="0">
                <macro>[0]!llevaralpresuplaca</macro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13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3" name="Option Button 4">
              <controlPr defaultSize="0" autoLine="0" autoPict="0">
                <macro>[0]!LimpiarPlaca</macro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P97"/>
  <sheetViews>
    <sheetView workbookViewId="0" topLeftCell="A1">
      <selection pane="topLeft" activeCell="K5" sqref="K5:P97"/>
    </sheetView>
  </sheetViews>
  <sheetFormatPr defaultColWidth="8.714285714285714" defaultRowHeight="15"/>
  <cols>
    <col min="2" max="2" width="10.428571428571429" bestFit="1" customWidth="1"/>
    <col min="3" max="3" width="56" bestFit="1" customWidth="1"/>
    <col min="4" max="4" width="10.571428571428571" bestFit="1" customWidth="1"/>
    <col min="5" max="5" width="10.428571428571429" style="56" bestFit="1" customWidth="1"/>
    <col min="6" max="6" width="8.857142857142858" bestFit="1" customWidth="1"/>
    <col min="7" max="7" width="9.428571428571429" style="56" bestFit="1" customWidth="1"/>
    <col min="11" max="11" width="10.857142857142858" bestFit="1" customWidth="1"/>
    <col min="12" max="12" width="47.285714285714285" bestFit="1" customWidth="1"/>
    <col min="13" max="13" width="1.7142857142857142" bestFit="1" customWidth="1"/>
    <col min="14" max="14" width="9.571428571428571" style="56" bestFit="1" customWidth="1"/>
    <col min="15" max="15" width="4" style="56" bestFit="1" customWidth="1"/>
    <col min="16" max="16" width="9.571428571428571" style="56" bestFit="1" customWidth="1"/>
  </cols>
  <sheetData>
    <row r="2" spans="9:9" ht="21">
      <c r="I2" s="156" t="s">
        <v>1879</v>
      </c>
    </row>
    <row r="3" spans="2:7" ht="15.75" thickBot="1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7" ht="1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ht="1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si="0" ref="G6:G15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si="1" ref="P6:P15">O6*N6</f>
        <v>5284.3572925953567</v>
      </c>
    </row>
    <row r="7" spans="2:16" ht="1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ht="1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ht="1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ht="1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ht="1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ht="1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ht="1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ht="1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ht="1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ht="1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ht="1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si="2" ref="G17:G2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si="3" ref="P17:P22">O17*N17</f>
        <v>655.3679227941177</v>
      </c>
    </row>
    <row r="18" spans="2:16" ht="1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ht="1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ht="1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ht="1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ht="1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7" ht="15.75" thickBot="1">
      <c r="B23" s="95"/>
      <c r="C23" s="96"/>
      <c r="D23" s="95"/>
      <c r="E23" s="309"/>
      <c r="F23" s="97"/>
      <c r="G23" s="309"/>
    </row>
    <row r="24" spans="2:7" ht="15">
      <c r="B24" s="93" t="s">
        <v>1838</v>
      </c>
      <c r="C24" s="473" t="s">
        <v>1839</v>
      </c>
      <c r="D24" s="473"/>
      <c r="E24" s="473"/>
      <c r="F24" s="473"/>
      <c r="G24" s="474"/>
    </row>
    <row r="25" spans="2:7" ht="15.75" thickBot="1">
      <c r="B25" s="94" t="s">
        <v>0</v>
      </c>
      <c r="C25" s="475" t="s">
        <v>1847</v>
      </c>
      <c r="D25" s="475"/>
      <c r="E25" s="475"/>
      <c r="F25" s="475"/>
      <c r="G25" s="476"/>
    </row>
    <row r="26" spans="2:7" ht="1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7" ht="1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7" ht="1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7" ht="1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7" ht="15.75" thickBot="1">
      <c r="B30" s="95"/>
      <c r="C30" s="96"/>
      <c r="D30" s="95"/>
      <c r="E30" s="309"/>
      <c r="F30" s="97"/>
      <c r="G30" s="309"/>
    </row>
    <row r="31" spans="2:7" ht="15">
      <c r="B31" s="93" t="s">
        <v>1838</v>
      </c>
      <c r="C31" s="473" t="s">
        <v>1839</v>
      </c>
      <c r="D31" s="473"/>
      <c r="E31" s="473"/>
      <c r="F31" s="473"/>
      <c r="G31" s="474"/>
    </row>
    <row r="32" spans="2:7" ht="15.75" thickBot="1">
      <c r="B32" s="94" t="s">
        <v>0</v>
      </c>
      <c r="C32" s="475" t="s">
        <v>1848</v>
      </c>
      <c r="D32" s="475"/>
      <c r="E32" s="475"/>
      <c r="F32" s="475"/>
      <c r="G32" s="476"/>
    </row>
    <row r="33" spans="2:16" ht="1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ht="1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ht="1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ht="1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ht="1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7" ht="15.75" thickBot="1">
      <c r="B38" s="95"/>
      <c r="C38" s="96"/>
      <c r="D38" s="95"/>
      <c r="E38" s="309"/>
      <c r="F38" s="97"/>
      <c r="G38" s="309"/>
    </row>
    <row r="39" spans="2:7" ht="15">
      <c r="B39" s="103" t="s">
        <v>1838</v>
      </c>
      <c r="C39" s="481" t="s">
        <v>1839</v>
      </c>
      <c r="D39" s="481"/>
      <c r="E39" s="481"/>
      <c r="F39" s="481"/>
      <c r="G39" s="482"/>
    </row>
    <row r="40" spans="2:7" ht="15.75" thickBot="1">
      <c r="B40" s="104" t="s">
        <v>0</v>
      </c>
      <c r="C40" s="483" t="s">
        <v>1849</v>
      </c>
      <c r="D40" s="483"/>
      <c r="E40" s="483"/>
      <c r="F40" s="483"/>
      <c r="G40" s="484"/>
    </row>
    <row r="41" spans="2:7" ht="1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7" ht="1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7" ht="1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7" ht="1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7" ht="1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7" ht="1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7" ht="15.75" thickBot="1">
      <c r="B47" s="95"/>
      <c r="C47" s="96"/>
      <c r="D47" s="95"/>
      <c r="E47" s="309"/>
      <c r="F47" s="97"/>
      <c r="G47" s="309"/>
    </row>
    <row r="48" spans="2:7" ht="15">
      <c r="B48" s="103" t="s">
        <v>1838</v>
      </c>
      <c r="C48" s="481" t="s">
        <v>1839</v>
      </c>
      <c r="D48" s="481"/>
      <c r="E48" s="481"/>
      <c r="F48" s="481"/>
      <c r="G48" s="482"/>
    </row>
    <row r="49" spans="2:7" ht="15.75" thickBot="1">
      <c r="B49" s="104" t="s">
        <v>0</v>
      </c>
      <c r="C49" s="483" t="s">
        <v>1850</v>
      </c>
      <c r="D49" s="483"/>
      <c r="E49" s="483"/>
      <c r="F49" s="483"/>
      <c r="G49" s="484"/>
    </row>
    <row r="50" spans="2:16" ht="1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ht="1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ht="1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ht="1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ht="1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ht="1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7" ht="15.75" thickBot="1">
      <c r="B56" s="95"/>
      <c r="C56" s="96"/>
      <c r="D56" s="95"/>
      <c r="E56" s="309"/>
      <c r="F56" s="97"/>
      <c r="G56" s="309"/>
    </row>
    <row r="57" spans="2:7" ht="15">
      <c r="B57" s="103" t="s">
        <v>1838</v>
      </c>
      <c r="C57" s="481" t="s">
        <v>1839</v>
      </c>
      <c r="D57" s="481"/>
      <c r="E57" s="481"/>
      <c r="F57" s="481"/>
      <c r="G57" s="482"/>
    </row>
    <row r="58" spans="2:7" ht="15.75" thickBot="1">
      <c r="B58" s="104" t="s">
        <v>0</v>
      </c>
      <c r="C58" s="483" t="s">
        <v>1851</v>
      </c>
      <c r="D58" s="483"/>
      <c r="E58" s="483"/>
      <c r="F58" s="483"/>
      <c r="G58" s="484"/>
    </row>
    <row r="59" spans="2:16" ht="1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ht="1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ht="1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ht="1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ht="1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ht="1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7" ht="15.75" thickBot="1">
      <c r="B65" s="95"/>
      <c r="C65" s="96"/>
      <c r="D65" s="95"/>
      <c r="E65" s="309"/>
      <c r="F65" s="97"/>
      <c r="G65" s="309"/>
    </row>
    <row r="66" spans="2:7" ht="15">
      <c r="B66" s="103" t="s">
        <v>1838</v>
      </c>
      <c r="C66" s="481" t="s">
        <v>1839</v>
      </c>
      <c r="D66" s="481"/>
      <c r="E66" s="481"/>
      <c r="F66" s="481"/>
      <c r="G66" s="482"/>
    </row>
    <row r="67" spans="2:7" ht="15.75" thickBot="1">
      <c r="B67" s="104" t="s">
        <v>0</v>
      </c>
      <c r="C67" s="483" t="s">
        <v>1852</v>
      </c>
      <c r="D67" s="483"/>
      <c r="E67" s="483"/>
      <c r="F67" s="483"/>
      <c r="G67" s="484"/>
    </row>
    <row r="68" spans="2:7" ht="1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7" ht="1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7" ht="15">
      <c r="B70" s="102"/>
      <c r="C70" s="96"/>
      <c r="D70" s="95"/>
      <c r="E70" s="309"/>
      <c r="F70" s="97"/>
      <c r="G70" s="310"/>
    </row>
    <row r="73" ht="15.75" thickBot="1"/>
    <row r="74" spans="2:7" ht="15">
      <c r="B74" s="103" t="s">
        <v>1838</v>
      </c>
      <c r="C74" s="481" t="s">
        <v>1839</v>
      </c>
      <c r="D74" s="481"/>
      <c r="E74" s="481"/>
      <c r="F74" s="481"/>
      <c r="G74" s="482"/>
    </row>
    <row r="75" spans="2:7" ht="15.75" thickBot="1">
      <c r="B75" s="104" t="s">
        <v>0</v>
      </c>
      <c r="C75" s="483" t="s">
        <v>1853</v>
      </c>
      <c r="D75" s="483"/>
      <c r="E75" s="483"/>
      <c r="F75" s="483"/>
      <c r="G75" s="484"/>
    </row>
    <row r="76" spans="2:16" ht="1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ht="1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ht="15.75" thickBot="1"/>
    <row r="80" spans="2:7" ht="15">
      <c r="B80" s="105" t="s">
        <v>1838</v>
      </c>
      <c r="C80" s="477" t="s">
        <v>1845</v>
      </c>
      <c r="D80" s="477"/>
      <c r="E80" s="477"/>
      <c r="F80" s="477"/>
      <c r="G80" s="478"/>
    </row>
    <row r="81" spans="2:7" ht="15.75" thickBot="1">
      <c r="B81" s="106" t="s">
        <v>0</v>
      </c>
      <c r="C81" s="479" t="s">
        <v>1846</v>
      </c>
      <c r="D81" s="479"/>
      <c r="E81" s="479"/>
      <c r="F81" s="479"/>
      <c r="G81" s="480"/>
    </row>
    <row r="82" spans="2:16" ht="1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ht="1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ht="15.75" thickBot="1"/>
    <row r="85" spans="2:7" ht="15">
      <c r="B85" s="105" t="s">
        <v>1838</v>
      </c>
      <c r="C85" s="477" t="s">
        <v>1854</v>
      </c>
      <c r="D85" s="477"/>
      <c r="E85" s="477"/>
      <c r="F85" s="477"/>
      <c r="G85" s="478"/>
    </row>
    <row r="86" spans="2:7" ht="15.75" thickBot="1">
      <c r="B86" s="106" t="s">
        <v>0</v>
      </c>
      <c r="C86" s="479" t="s">
        <v>1855</v>
      </c>
      <c r="D86" s="479"/>
      <c r="E86" s="479"/>
      <c r="F86" s="479"/>
      <c r="G86" s="480"/>
    </row>
    <row r="87" spans="2:16" ht="1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ht="1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ht="15.75" thickBot="1"/>
    <row r="91" spans="2:7" ht="15">
      <c r="B91" s="65" t="s">
        <v>1838</v>
      </c>
      <c r="C91" s="485" t="s">
        <v>1856</v>
      </c>
      <c r="D91" s="485"/>
      <c r="E91" s="485"/>
      <c r="F91" s="485"/>
      <c r="G91" s="486"/>
    </row>
    <row r="92" spans="2:7" ht="15.75" thickBot="1">
      <c r="B92" s="1" t="s">
        <v>0</v>
      </c>
      <c r="C92" s="463" t="s">
        <v>1857</v>
      </c>
      <c r="D92" s="463"/>
      <c r="E92" s="463"/>
      <c r="F92" s="463"/>
      <c r="G92" s="464"/>
    </row>
    <row r="93" spans="2:16" ht="1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ht="15.75" thickBot="1"/>
    <row r="95" spans="2:7" ht="15">
      <c r="B95" s="65" t="s">
        <v>1838</v>
      </c>
      <c r="C95" s="485" t="s">
        <v>1858</v>
      </c>
      <c r="D95" s="485"/>
      <c r="E95" s="485"/>
      <c r="F95" s="485"/>
      <c r="G95" s="486"/>
    </row>
    <row r="96" spans="2:7" ht="15.75" thickBot="1">
      <c r="B96" s="1" t="s">
        <v>0</v>
      </c>
      <c r="C96" s="463" t="s">
        <v>1859</v>
      </c>
      <c r="D96" s="463"/>
      <c r="E96" s="463"/>
      <c r="F96" s="463"/>
      <c r="G96" s="464"/>
    </row>
    <row r="97" spans="2:16" ht="1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/>
  </hyperlinks>
  <pageMargins left="0.7" right="0.7" top="0.75" bottom="0.75" header="0.3" footer="0.3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1" name="Option Button 1">
              <controlPr defaultSize="0" autoLine="0" autoPict="0">
                <macro>[0]!UF85mover</macro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2" name="Option Button 2">
              <controlPr defaultSize="0" autoLine="0" autoPict="0">
                <macro>[0]!UF85limpiar</macro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3" name="Option Button 5">
              <controlPr defaultSize="0" autoLine="0" autoPict="0">
                <macro>[0]!UF55mover</macro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4" name="Option Button 6">
              <controlPr defaultSize="0" autoLine="0" autoPict="0">
                <macro>[0]!UF55limpiar</macro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Option Button 9">
              <controlPr defaultSize="0" autoLine="0" autoPict="0">
                <macro>[0]!UF100mover</macro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Option Button 10">
              <controlPr defaultSize="0" autoLine="0" autoPict="0">
                <macro>[0]!UF100limpiar</macro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7" name="Option Button 11">
              <controlPr defaultSize="0" autoLine="0" autoPict="0">
                <macro>[0]!BM1HPmover</macro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8" name="Option Button 12">
              <controlPr defaultSize="0" autoLine="0" autoPict="0">
                <macro>[0]!BM1hplimpiar</macro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9" name="Option Button 13">
              <controlPr defaultSize="0" autoLine="0" autoPict="0">
                <macro>[0]!BT1hpmover</macro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0" name="Option Button 14">
              <controlPr defaultSize="0" autoLine="0" autoPict="0">
                <macro>[0]!BT1hplimpiar</macro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1" name="Option Button 17">
              <controlPr defaultSize="0" autoLine="0" autoPict="0">
                <macro>[0]!BT2HPmover</macro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2" name="Option Button 18">
              <controlPr defaultSize="0" autoLine="0" autoPict="0">
                <macro>[0]!BT2HPlimpiar</macro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3" name="Option Button 19">
              <controlPr defaultSize="0" autoLine="0" autoPict="0">
                <macro>[0]!BTGM05</macro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4" name="Option Button 20">
              <controlPr defaultSize="0" autoLine="0" autoPict="0">
                <macro>[0]!BTGM05limpiar</macro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5" name="Option Button 21">
              <controlPr defaultSize="0" autoLine="0" autoPict="0">
                <macro>[0]!BTGM1mover</macro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6" name="Option Button 22">
              <controlPr defaultSize="0" autoLine="0" autoPict="0">
                <macro>[0]!BTGM1limpiar</macro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7" name="Option Button 23">
              <controlPr defaultSize="0" autoLine="0" autoPict="0">
                <macro>[0]!CF3mover</macro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8" name="Option Button 24">
              <controlPr defaultSize="0" autoLine="0" autoPict="0">
                <macro>[0]!CF3limpiar</macro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19" name="Option Button 25">
              <controlPr defaultSize="0" autoLine="0" autoPict="0">
                <macro>[0]!T3mover</macro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0" name="Option Button 26">
              <controlPr defaultSize="0" autoLine="0" autoPict="0">
                <macro>[0]!T3limpiar</macro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1" name="Option Button 27">
              <controlPr defaultSize="0" autoLine="0" autoPict="0">
                <macro>[0]!T4mover</macro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2" name="Option Button 28">
              <controlPr defaultSize="0" autoLine="0" autoPict="0">
                <macro>[0]!T4limpiar</macro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3" name="Option Button 31">
              <controlPr defaultSize="0" autoLine="0" autoPict="0">
                <macro>[0]!CF4mover</macro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10</xdr:col>
                    <xdr:colOff>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4" name="Option Button 32">
              <controlPr defaultSize="0" autoLine="0" autoPict="0">
                <macro>[0]!CF4limpiar</macro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10</xdr:col>
                    <xdr:colOff>0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5" name="Option Button 38">
              <controlPr defaultSize="0" autoLine="0" autoPict="0">
                <macro>[0]!llevarUFpresu</macro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Q70"/>
  <sheetViews>
    <sheetView zoomScale="91" zoomScaleNormal="91" workbookViewId="0" topLeftCell="A1">
      <selection pane="topLeft" activeCell="L7" sqref="L7:Q45"/>
    </sheetView>
  </sheetViews>
  <sheetFormatPr defaultColWidth="8.714285714285714" defaultRowHeight="15"/>
  <cols>
    <col min="2" max="2" width="20.571428571428573" bestFit="1" customWidth="1"/>
    <col min="3" max="3" width="46.142857142857146" bestFit="1" customWidth="1"/>
    <col min="4" max="4" width="4.714285714285714" bestFit="1" customWidth="1"/>
    <col min="5" max="5" width="10.428571428571429" bestFit="1" customWidth="1"/>
    <col min="6" max="6" width="8.857142857142858" bestFit="1" customWidth="1"/>
    <col min="7" max="7" width="13.571428571428571" bestFit="1" customWidth="1"/>
    <col min="8" max="8" width="24.142857142857142" bestFit="1" customWidth="1"/>
    <col min="9" max="9" width="2.142857142857143" customWidth="1"/>
    <col min="12" max="12" width="9.857142857142858" bestFit="1" customWidth="1"/>
    <col min="13" max="13" width="49.857142857142854" bestFit="1" customWidth="1"/>
    <col min="14" max="14" width="1.8571428571428572" bestFit="1" customWidth="1"/>
    <col min="15" max="15" width="11.857142857142858" bestFit="1" customWidth="1"/>
    <col min="16" max="16" width="2.857142857142857" bestFit="1" customWidth="1"/>
    <col min="17" max="17" width="11.857142857142858" style="56" bestFit="1" customWidth="1"/>
  </cols>
  <sheetData>
    <row r="2" spans="2:8" ht="21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4" ht="1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7" ht="1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7" ht="15.75" thickBot="1">
      <c r="B6" s="1" t="s">
        <v>0</v>
      </c>
      <c r="C6" s="463" t="s">
        <v>1861</v>
      </c>
      <c r="D6" s="463"/>
      <c r="E6" s="463"/>
      <c r="F6" s="463"/>
      <c r="G6" s="464"/>
    </row>
    <row r="7" spans="2:17" ht="1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ht="1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ht="1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ht="1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ht="1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7" ht="15">
      <c r="B12" s="95"/>
      <c r="C12" s="96"/>
      <c r="D12" s="95"/>
      <c r="E12" s="92"/>
      <c r="F12" s="151"/>
      <c r="G12" s="150"/>
    </row>
    <row r="13" spans="2:7" ht="15">
      <c r="B13" s="95"/>
      <c r="C13" s="96" t="s">
        <v>1877</v>
      </c>
      <c r="D13" s="95"/>
      <c r="E13" s="92"/>
      <c r="F13" s="151"/>
      <c r="G13" s="150"/>
    </row>
    <row r="14" spans="3:3" ht="15">
      <c r="C14" t="s">
        <v>1878</v>
      </c>
    </row>
    <row r="15" spans="2:7" ht="15.75" thickBot="1">
      <c r="B15" s="1" t="s">
        <v>0</v>
      </c>
      <c r="C15" s="463" t="s">
        <v>1873</v>
      </c>
      <c r="D15" s="463"/>
      <c r="E15" s="463"/>
      <c r="F15" s="463"/>
      <c r="G15" s="464"/>
    </row>
    <row r="16" spans="2:17" ht="1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6" ht="1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6" ht="1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6" ht="1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6" ht="1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6" ht="15.75" thickBot="1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ht="1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si="0" ref="G22:G35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ht="1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ht="1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ht="1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ht="1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ht="1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ht="1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ht="1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ht="1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ht="1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ht="1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ht="1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ht="1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ht="1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ht="1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ht="1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ht="1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ht="1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ht="1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ht="1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ht="1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ht="1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7" ht="1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7" ht="1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ht="1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si="1" ref="G49:G70">+F49*E49</f>
        <v>447.57933436532511</v>
      </c>
    </row>
    <row r="50" spans="2:7" ht="1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ht="1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ht="1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ht="1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ht="1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ht="1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ht="1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ht="1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ht="1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ht="1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ht="1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ht="1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7" ht="1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7" ht="1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0.50</v>
      </c>
      <c r="G66" s="427">
        <f t="shared" si="1"/>
        <v>346.98239164086698</v>
      </c>
    </row>
    <row r="67" spans="2:7" ht="1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7" ht="1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7" ht="1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ht="1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" name="Option Button 1">
              <controlPr defaultSize="0" autoLine="0" autoPict="0">
                <macro>[0]!moverxp</macro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2" name="Option Button 2">
              <controlPr defaultSize="0" autoLine="0" autoPict="0">
                <macro>[0]!limpiarxp</macro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3" name="Option Button 5">
              <controlPr defaultSize="0" autoLine="0" autoPict="0">
                <macro>[0]!moverami</macro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4" name="Option Button 6">
              <controlPr defaultSize="0" autoLine="0" autoPict="0">
                <macro>[0]!limpiarami</macro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Line="0" autoPict="0">
                <macro>[0]!moverbrazo</macro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Line="0" autoPict="0">
                <macro>[0]!limpiarbrazo</macro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Line="0" autoPict="0">
                <macro>[0]!llevarextrapresu</macro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Line="0" autoPict="0">
                <macro>[0]!limpiarextra</macro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8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B1:P58"/>
  <sheetViews>
    <sheetView workbookViewId="0" topLeftCell="A1">
      <selection pane="topLeft" activeCell="K7" sqref="K7:P58"/>
    </sheetView>
  </sheetViews>
  <sheetFormatPr defaultColWidth="8.714285714285714" defaultRowHeight="15"/>
  <cols>
    <col min="2" max="2" width="10.428571428571429" bestFit="1" customWidth="1"/>
    <col min="3" max="3" width="32.857142857142854" bestFit="1" customWidth="1"/>
    <col min="4" max="4" width="10.571428571428571" bestFit="1" customWidth="1"/>
    <col min="5" max="5" width="11.142857142857142" bestFit="1" customWidth="1"/>
    <col min="6" max="6" width="8.857142857142858" bestFit="1" customWidth="1"/>
    <col min="7" max="7" width="13.571428571428571" bestFit="1" customWidth="1"/>
    <col min="9" max="9" width="4.571428571428571" customWidth="1"/>
    <col min="11" max="11" width="7.857142857142857" bestFit="1" customWidth="1"/>
    <col min="12" max="12" width="31.714285714285715" bestFit="1" customWidth="1"/>
    <col min="13" max="13" width="3.857142857142857" bestFit="1" customWidth="1"/>
    <col min="14" max="14" width="7.857142857142857" bestFit="1" customWidth="1"/>
    <col min="15" max="15" width="5.142857142857143" bestFit="1" customWidth="1"/>
    <col min="16" max="16" width="10.714285714285714" style="87" bestFit="1" customWidth="1"/>
  </cols>
  <sheetData>
    <row r="1" spans="13:16" ht="15">
      <c r="M1" s="87"/>
      <c r="P1"/>
    </row>
    <row r="2" spans="9:9" ht="21">
      <c r="I2" s="156" t="s">
        <v>1879</v>
      </c>
    </row>
    <row r="5" spans="2:7" ht="1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3:16" ht="15.7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ht="1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si="0" ref="G7:G12">+E7*F7</f>
        <v>15654.41925986842</v>
      </c>
      <c r="H7" s="79"/>
      <c r="K7" t="str">
        <f t="shared" si="1" ref="K7:P7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ht="1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si="2" ref="K8:K13">+IF($H8&lt;&gt;0,B8,"")</f>
        <v/>
      </c>
      <c r="L8" t="str">
        <f t="shared" si="3" ref="L8:L13">+IF($H8&lt;&gt;0,C8,"")</f>
        <v/>
      </c>
      <c r="M8" t="str">
        <f t="shared" si="4" ref="M8:M13">+IF($H8&lt;&gt;0,D8,"")</f>
        <v/>
      </c>
      <c r="N8" s="87" t="str">
        <f t="shared" si="5" ref="N8:N13">+IF($H8&lt;&gt;0,E8,"")</f>
        <v/>
      </c>
      <c r="O8" s="87" t="str">
        <f t="shared" si="6" ref="O8:O13">+IF($H8&lt;&gt;0,F8,"")</f>
        <v/>
      </c>
      <c r="P8" s="87" t="str">
        <f t="shared" si="7" ref="P8:P13">+IF($H8&lt;&gt;0,G8,"")</f>
        <v/>
      </c>
    </row>
    <row r="9" spans="2:16" ht="1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ht="1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ht="1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ht="1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ht="1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7" ht="1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ht="15.75" thickBot="1"/>
    <row r="17" spans="2:7" ht="15">
      <c r="B17" s="65" t="s">
        <v>1838</v>
      </c>
      <c r="C17" s="485" t="s">
        <v>1839</v>
      </c>
      <c r="D17" s="485"/>
      <c r="E17" s="485"/>
      <c r="F17" s="485"/>
      <c r="G17" s="486"/>
    </row>
    <row r="18" spans="2:7" ht="15.75" thickBot="1">
      <c r="B18" s="1" t="s">
        <v>0</v>
      </c>
      <c r="C18" s="463" t="s">
        <v>1875</v>
      </c>
      <c r="D18" s="463"/>
      <c r="E18" s="463"/>
      <c r="F18" s="463"/>
      <c r="G18" s="464"/>
    </row>
    <row r="19" spans="2:16" ht="1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8941.3600000000006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ht="1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ht="1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si="8" ref="G21:G27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ht="1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ht="1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ht="1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ht="1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ht="1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ht="1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7" ht="15">
      <c r="B28" s="95"/>
      <c r="C28" s="96"/>
      <c r="D28" s="95"/>
      <c r="E28" s="92"/>
      <c r="F28" s="97"/>
      <c r="G28" s="92"/>
    </row>
    <row r="29" spans="2:7" ht="15.75" thickBot="1">
      <c r="B29" s="64"/>
      <c r="C29" s="64"/>
      <c r="D29" s="64"/>
      <c r="E29" s="64"/>
      <c r="F29" s="64"/>
      <c r="G29" s="64"/>
    </row>
    <row r="30" spans="2:7" ht="15">
      <c r="B30" s="65" t="s">
        <v>1838</v>
      </c>
      <c r="C30" s="485" t="s">
        <v>1839</v>
      </c>
      <c r="D30" s="485"/>
      <c r="E30" s="485"/>
      <c r="F30" s="485"/>
      <c r="G30" s="486"/>
    </row>
    <row r="31" spans="2:7" ht="15.75" thickBot="1">
      <c r="B31" s="1" t="s">
        <v>0</v>
      </c>
      <c r="C31" s="463" t="s">
        <v>1876</v>
      </c>
      <c r="D31" s="463"/>
      <c r="E31" s="463"/>
      <c r="F31" s="463"/>
      <c r="G31" s="464"/>
    </row>
    <row r="32" spans="2:16" ht="1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ht="1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ht="1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si="9" ref="G34:G43">E34/D34*F34</f>
        <v>0</v>
      </c>
      <c r="P34"/>
    </row>
    <row r="35" spans="2:16" ht="1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ht="1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ht="1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ht="1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ht="1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ht="1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ht="1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ht="1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ht="1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7" ht="15.75" thickBot="1">
      <c r="B44" s="95"/>
      <c r="C44" s="96"/>
      <c r="D44" s="95"/>
      <c r="E44" s="92"/>
      <c r="F44" s="97"/>
      <c r="G44" s="92"/>
    </row>
    <row r="45" spans="2:7" ht="15">
      <c r="B45" s="65" t="s">
        <v>1838</v>
      </c>
      <c r="C45" s="485" t="s">
        <v>1839</v>
      </c>
      <c r="D45" s="485"/>
      <c r="E45" s="485"/>
      <c r="F45" s="485"/>
      <c r="G45" s="486"/>
    </row>
    <row r="46" spans="2:7" ht="15.75" thickBot="1">
      <c r="B46" s="158" t="s">
        <v>0</v>
      </c>
      <c r="C46" s="463" t="s">
        <v>1882</v>
      </c>
      <c r="D46" s="463"/>
      <c r="E46" s="463"/>
      <c r="F46" s="463"/>
      <c r="G46" s="464"/>
    </row>
    <row r="47" spans="2:16" ht="1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ht="1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ht="1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si="10" ref="G49:G58">E49/D49*F49</f>
        <v>0</v>
      </c>
      <c r="P49"/>
    </row>
    <row r="50" spans="2:16" ht="1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ht="1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ht="1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ht="1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ht="1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ht="1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ht="1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ht="1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ht="1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priority="1" dxfId="34"/>
  </conditionalFormatting>
  <hyperlinks>
    <hyperlink ref="I2" location="presu!A1" display="Presupuesto"/>
  </hyperlinks>
  <pageMargins left="0.7" right="0.7" top="0.75" bottom="0.75" header="0.3" footer="0.3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1" name="Option Button 1">
              <controlPr defaultSize="0" autoLine="0" autoPict="0">
                <macro>[0]!moveriso</macro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2" name="Option Button 2">
              <controlPr defaultSize="0" autoLine="0" autoPict="0">
                <macro>[0]!limpiariso</macro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3" name="Option Button 3">
              <controlPr defaultSize="0" autoLine="0" autoPict="0">
                <macro>[0]!moversingle</macro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Option Button 4">
              <controlPr defaultSize="0" autoLine="0" autoPict="0">
                <macro>[0]!limpiarsingle</macro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5" name="Option Button 7">
              <controlPr defaultSize="0" autoLine="0" autoPict="0">
                <macro>[0]!moverdual</macro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6" name="Option Button 8">
              <controlPr defaultSize="0" autoLine="0" autoPict="0">
                <macro>[0]!limpiardual</macro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Option Button 11">
              <controlPr defaultSize="0" autoLine="0" autoPict="0">
                <macro>[0]!llevarisopresu</macro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Option Button 12">
              <controlPr defaultSize="0" autoLine="0" autoPict="0">
                <macro>[0]!limpiartodoiso</macro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9" name="Option Button 14">
              <controlPr defaultSize="0" autoLine="0" autoPict="0">
                <macro>[0]!limpiarsdcontrol</macro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2:Q420"/>
  <sheetViews>
    <sheetView workbookViewId="0" topLeftCell="A1">
      <selection pane="topLeft" activeCell="L7" sqref="L7:Q36"/>
    </sheetView>
  </sheetViews>
  <sheetFormatPr defaultColWidth="8.714285714285714" defaultRowHeight="15"/>
  <cols>
    <col min="2" max="2" width="12.857142857142858" bestFit="1" customWidth="1"/>
    <col min="3" max="3" width="43.714285714285715" bestFit="1" customWidth="1"/>
    <col min="4" max="7" width="8.857142857142858" customWidth="1"/>
    <col min="12" max="12" width="11" bestFit="1" customWidth="1"/>
    <col min="13" max="13" width="37.857142857142854" bestFit="1" customWidth="1"/>
    <col min="14" max="14" width="1.8571428571428572" bestFit="1" customWidth="1"/>
    <col min="15" max="15" width="9.857142857142858" bestFit="1" customWidth="1"/>
    <col min="16" max="16" width="4.428571428571429" bestFit="1" customWidth="1"/>
    <col min="17" max="17" width="9.857142857142858" bestFit="1" customWidth="1"/>
  </cols>
  <sheetData>
    <row r="2" spans="7:7" ht="21">
      <c r="G2" s="156" t="s">
        <v>1879</v>
      </c>
    </row>
    <row r="4" ht="15.75" thickBot="1"/>
    <row r="5" spans="2:17" ht="1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ht="1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si="0" ref="L7:O8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ht="1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ht="1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ht="1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ht="1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si="1" ref="L13:L36">+IF($H13&lt;&gt;0,B13,"")</f>
        <v/>
      </c>
      <c r="M13" t="str">
        <f t="shared" si="2" ref="M13:M36">+IF($H13&lt;&gt;0,C13,"")</f>
        <v/>
      </c>
      <c r="N13" t="str">
        <f t="shared" si="3" ref="N13:N36">+IF($H13&lt;&gt;0,D13,"")</f>
        <v/>
      </c>
      <c r="O13" s="56" t="str">
        <f t="shared" si="4" ref="O13:O36">+IF($H13&lt;&gt;0,E13,"")</f>
        <v/>
      </c>
      <c r="P13" s="56" t="str">
        <f t="shared" si="5" ref="P13:P39">IF(H13&lt;1,"",H13)</f>
        <v/>
      </c>
      <c r="Q13" s="56" t="str">
        <f t="shared" si="6" ref="Q13:Q36">IF(H13&lt;1,"",+P13*O13)</f>
        <v/>
      </c>
    </row>
    <row r="14" spans="2:17" ht="1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ht="1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si="7" ref="G15:G36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ht="1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ht="1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ht="1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ht="1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ht="1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ht="1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ht="1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ht="1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ht="1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ht="1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ht="1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ht="1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ht="1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ht="1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ht="1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ht="1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ht="1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ht="1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ht="1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ht="1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8:16" ht="15">
      <c r="H37" s="80"/>
      <c r="P37" s="56" t="str">
        <f t="shared" si="5"/>
        <v/>
      </c>
    </row>
    <row r="38" spans="8:16" ht="15">
      <c r="H38" s="80"/>
      <c r="P38" s="56" t="str">
        <f t="shared" si="5"/>
        <v/>
      </c>
    </row>
    <row r="39" spans="8:16" ht="15">
      <c r="H39" s="80"/>
      <c r="P39" s="56" t="str">
        <f t="shared" si="5"/>
        <v/>
      </c>
    </row>
    <row r="391" spans="1:6" ht="1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ht="1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ht="1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ht="1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ht="1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ht="1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ht="1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ht="1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ht="1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ht="1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ht="1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ht="1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ht="1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ht="1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ht="1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ht="1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ht="1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ht="1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ht="1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ht="1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ht="1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ht="1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ht="1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ht="1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ht="1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ht="1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priority="1" dxfId="34"/>
  </conditionalFormatting>
  <hyperlinks>
    <hyperlink ref="G2" location="presu!A1" display="Presupuesto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1" name="Option Button 1">
              <controlPr defaultSize="0" autoLine="0" autoPict="0">
                <macro>[0]!llevarrobotpresu</macro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Q511"/>
  <sheetViews>
    <sheetView zoomScale="83" zoomScaleNormal="83" workbookViewId="0" topLeftCell="A1">
      <selection pane="topLeft" activeCell="K6" sqref="K6:Q95"/>
    </sheetView>
  </sheetViews>
  <sheetFormatPr defaultColWidth="8.714285714285714" defaultRowHeight="15"/>
  <cols>
    <col min="2" max="2" width="19.142857142857142" bestFit="1" customWidth="1"/>
    <col min="3" max="3" width="56" bestFit="1" customWidth="1"/>
    <col min="4" max="4" width="10.571428571428571" bestFit="1" customWidth="1"/>
    <col min="5" max="5" width="10.428571428571429" style="56" bestFit="1" customWidth="1"/>
    <col min="6" max="6" width="10.428571428571429" bestFit="1" customWidth="1"/>
    <col min="7" max="7" width="9.428571428571429" style="56" bestFit="1" customWidth="1"/>
    <col min="11" max="11" width="10.857142857142858" bestFit="1" customWidth="1"/>
    <col min="12" max="12" width="19.857142857142858" customWidth="1"/>
    <col min="13" max="13" width="12.428571428571429" customWidth="1"/>
    <col min="14" max="14" width="9.571428571428571" style="56" bestFit="1" customWidth="1"/>
    <col min="15" max="15" width="5.428571428571429" style="56" bestFit="1" customWidth="1"/>
    <col min="16" max="16" width="9.571428571428571" style="56" bestFit="1" customWidth="1"/>
  </cols>
  <sheetData>
    <row r="1" spans="3:5" ht="15">
      <c r="C1" t="s">
        <v>4</v>
      </c>
      <c r="D1" s="56">
        <f>presu!C11</f>
        <v>1</v>
      </c>
      <c r="E1"/>
    </row>
    <row r="2" spans="3:9" ht="21">
      <c r="C2" t="s">
        <v>5</v>
      </c>
      <c r="D2" s="56">
        <f>presu!C12</f>
        <v>1</v>
      </c>
      <c r="E2"/>
      <c r="I2" s="156" t="s">
        <v>1879</v>
      </c>
    </row>
    <row r="3" spans="2:7" ht="15.75" thickBot="1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7" ht="1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ht="1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si="0" ref="G6:G8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ht="1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ht="1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ht="15">
      <c r="B9" s="2"/>
      <c r="C9" s="213"/>
      <c r="D9" s="214"/>
      <c r="E9" s="303"/>
      <c r="F9" s="30"/>
      <c r="G9" s="373"/>
      <c r="N9"/>
      <c r="O9"/>
      <c r="P9"/>
    </row>
    <row r="10" spans="2:16" ht="15.75" thickBot="1">
      <c r="B10" s="95"/>
      <c r="C10" s="96"/>
      <c r="D10" s="95"/>
      <c r="E10" s="309"/>
      <c r="F10" s="97"/>
      <c r="G10" s="309"/>
      <c r="N10"/>
      <c r="O10"/>
      <c r="P10"/>
    </row>
    <row r="11" spans="2:16" ht="1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ht="15">
      <c r="B12" s="158" t="s">
        <v>0</v>
      </c>
      <c r="C12" s="490" t="s">
        <v>2149</v>
      </c>
      <c r="D12" s="490"/>
      <c r="E12" s="490"/>
      <c r="F12" s="490"/>
      <c r="G12" s="491"/>
      <c r="N12"/>
      <c r="O12"/>
      <c r="P12"/>
    </row>
    <row r="13" spans="2:16" ht="1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ht="1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si="1" ref="G14:G17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ht="1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ht="1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ht="1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>
      <c r="B18" s="95"/>
      <c r="C18" s="96"/>
      <c r="D18" s="95"/>
      <c r="E18" s="309"/>
      <c r="F18" s="97"/>
      <c r="G18" s="309"/>
      <c r="N18"/>
      <c r="O18"/>
      <c r="P18"/>
    </row>
    <row r="19" spans="2:16" ht="1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>
      <c r="B20" s="104" t="s">
        <v>0</v>
      </c>
      <c r="C20" s="483" t="s">
        <v>2150</v>
      </c>
      <c r="D20" s="483"/>
      <c r="E20" s="483"/>
      <c r="F20" s="483"/>
      <c r="G20" s="484"/>
      <c r="N20"/>
      <c r="O20"/>
      <c r="P20"/>
    </row>
    <row r="21" spans="2:16" ht="1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si="2" ref="G21:G26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ht="1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ht="1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ht="1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ht="1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ht="1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>
      <c r="B27" s="95"/>
      <c r="C27" s="96"/>
      <c r="D27" s="95"/>
      <c r="E27" s="309"/>
      <c r="F27" s="97"/>
      <c r="G27" s="309"/>
      <c r="N27"/>
      <c r="O27"/>
      <c r="P27"/>
    </row>
    <row r="28" spans="2:16" ht="1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>
      <c r="B29" s="104" t="s">
        <v>0</v>
      </c>
      <c r="C29" s="483" t="s">
        <v>2148</v>
      </c>
      <c r="D29" s="483"/>
      <c r="E29" s="483"/>
      <c r="F29" s="483"/>
      <c r="G29" s="484"/>
      <c r="N29"/>
      <c r="O29"/>
      <c r="P29"/>
    </row>
    <row r="30" spans="2:16" ht="1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si="3" ref="G30:G34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ht="1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ht="1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ht="1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ht="1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7" ht="15.75" thickBot="1">
      <c r="B35" s="95"/>
      <c r="C35" s="96"/>
      <c r="D35" s="95"/>
      <c r="E35" s="309"/>
      <c r="F35" s="97"/>
      <c r="G35" s="309"/>
    </row>
    <row r="36" spans="2:7" ht="15">
      <c r="B36" s="103" t="s">
        <v>1838</v>
      </c>
      <c r="C36" s="481" t="s">
        <v>1839</v>
      </c>
      <c r="D36" s="481"/>
      <c r="E36" s="481"/>
      <c r="F36" s="481"/>
      <c r="G36" s="482"/>
    </row>
    <row r="37" spans="2:7" ht="15.75" thickBot="1">
      <c r="B37" s="104" t="s">
        <v>0</v>
      </c>
      <c r="C37" s="483" t="s">
        <v>2145</v>
      </c>
      <c r="D37" s="483"/>
      <c r="E37" s="483"/>
      <c r="F37" s="483"/>
      <c r="G37" s="484"/>
    </row>
    <row r="38" spans="2:16" ht="1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si="4" ref="G38:G43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ht="1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ht="1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ht="1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ht="1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ht="1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>
      <c r="B44" s="281"/>
      <c r="C44" s="364"/>
      <c r="D44" s="364"/>
      <c r="E44" s="365"/>
      <c r="N44"/>
      <c r="O44"/>
      <c r="P44"/>
    </row>
    <row r="45" spans="2:7" ht="15">
      <c r="B45" s="103" t="s">
        <v>1838</v>
      </c>
      <c r="C45" s="481" t="s">
        <v>1839</v>
      </c>
      <c r="D45" s="481"/>
      <c r="E45" s="481"/>
      <c r="F45" s="481"/>
      <c r="G45" s="482"/>
    </row>
    <row r="46" spans="2:7" ht="15.75" thickBot="1">
      <c r="B46" s="380" t="s">
        <v>0</v>
      </c>
      <c r="C46" s="483" t="s">
        <v>2151</v>
      </c>
      <c r="D46" s="483"/>
      <c r="E46" s="483"/>
      <c r="F46" s="483"/>
      <c r="G46" s="484"/>
    </row>
    <row r="47" spans="2:16" ht="1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si="5" ref="G47:G50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ht="1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6" ht="1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6" ht="1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7" ht="15.75" thickBot="1">
      <c r="B51" s="366"/>
      <c r="C51" s="96"/>
      <c r="D51" s="95"/>
      <c r="E51" s="92"/>
      <c r="F51" s="360"/>
      <c r="G51" s="367"/>
    </row>
    <row r="52" spans="2:7" ht="15">
      <c r="B52" s="361" t="s">
        <v>1838</v>
      </c>
      <c r="C52" s="492"/>
      <c r="D52" s="492"/>
      <c r="E52" s="492"/>
      <c r="F52" s="492"/>
      <c r="G52" s="493"/>
    </row>
    <row r="53" spans="2:7" ht="15.75" thickBot="1">
      <c r="B53" s="362" t="s">
        <v>0</v>
      </c>
      <c r="C53" s="494" t="s">
        <v>2138</v>
      </c>
      <c r="D53" s="494"/>
      <c r="E53" s="494"/>
      <c r="F53" s="494"/>
      <c r="G53" s="495"/>
    </row>
    <row r="54" spans="2:17" ht="1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si="6" ref="K54">+IF($H54&lt;&gt;0,B54,"")</f>
        <v>8511510</v>
      </c>
      <c r="L54" t="str">
        <f t="shared" si="7" ref="L54">+IF($H54&lt;&gt;0,C54,"")</f>
        <v>Conector( NIPPLE ASSY,STR,5/8 ID)</v>
      </c>
      <c r="M54">
        <f t="shared" si="8" ref="M54">+IF($H54&lt;&gt;0,D54,"")</f>
        <v>1</v>
      </c>
      <c r="N54" s="87">
        <f t="shared" si="9" ref="N54">+IF($H54&lt;&gt;0,E54,"")</f>
        <v>123.65110753676468</v>
      </c>
      <c r="O54" s="87">
        <f t="shared" si="10" ref="O54">+IF($H54&lt;&gt;0,F54,"")</f>
        <v>1</v>
      </c>
      <c r="P54" s="87">
        <f t="shared" si="11" ref="P54">+IF($H54&lt;&gt;0,G54,"")</f>
        <v>123.65110753676468</v>
      </c>
      <c r="Q54" s="87">
        <f t="shared" si="12" ref="Q54">+IF($H54&lt;&gt;0,H54,"")</f>
        <v>1</v>
      </c>
    </row>
    <row r="55" spans="2:17" ht="1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si="13" ref="F55:F57">$D$1</f>
        <v>1</v>
      </c>
      <c r="G55" s="304">
        <f t="shared" si="14" ref="G55:G57">F55*E55</f>
        <v>158.26240808823525</v>
      </c>
      <c r="H55" s="379"/>
      <c r="K55" t="str">
        <f t="shared" si="15" ref="K55:K57">+IF($H55&lt;&gt;0,B55,"")</f>
        <v/>
      </c>
      <c r="L55" t="str">
        <f t="shared" si="16" ref="L55:L57">+IF($H55&lt;&gt;0,C55,"")</f>
        <v/>
      </c>
      <c r="M55" t="str">
        <f t="shared" si="17" ref="M55:M57">+IF($H55&lt;&gt;0,D55,"")</f>
        <v/>
      </c>
      <c r="N55" s="87" t="str">
        <f t="shared" si="18" ref="N55:N57">+IF($H55&lt;&gt;0,E55,"")</f>
        <v/>
      </c>
      <c r="O55" s="87" t="str">
        <f t="shared" si="19" ref="O55:O57">+IF($H55&lt;&gt;0,F55,"")</f>
        <v/>
      </c>
      <c r="P55" s="87" t="str">
        <f t="shared" si="20" ref="P55:P57">+IF($H55&lt;&gt;0,G55,"")</f>
        <v/>
      </c>
      <c r="Q55" s="87" t="str">
        <f t="shared" si="21" ref="Q55:Q57">+IF($H55&lt;&gt;0,H55,"")</f>
        <v/>
      </c>
    </row>
    <row r="56" spans="2:17" ht="1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ht="1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>
      <c r="B58" s="95"/>
      <c r="C58" s="96"/>
      <c r="D58" s="95"/>
      <c r="E58" s="309"/>
      <c r="F58" s="97"/>
      <c r="G58" s="309"/>
      <c r="L58" t="str">
        <f t="shared" si="22" ref="L58:L95">+IF($H58&lt;&gt;0,C58,"")</f>
        <v/>
      </c>
      <c r="M58" t="str">
        <f t="shared" si="23" ref="M58:M95">+IF($H58&lt;&gt;0,D58,"")</f>
        <v/>
      </c>
      <c r="N58" t="str">
        <f t="shared" si="24" ref="N58:N95">+IF($H58&lt;&gt;0,E58,"")</f>
        <v/>
      </c>
      <c r="O58" s="87" t="str">
        <f t="shared" si="25" ref="O58:O95">+IF($H58&lt;&gt;0,F58,"")</f>
        <v/>
      </c>
      <c r="P58" s="87" t="str">
        <f t="shared" si="26" ref="P58:P95">+IF($H58&lt;&gt;0,G58,"")</f>
        <v/>
      </c>
      <c r="Q58" s="87" t="str">
        <f t="shared" si="27" ref="Q58:Q95">+IF($H58&lt;&gt;0,H58,"")</f>
        <v/>
      </c>
    </row>
    <row r="59" spans="2:17" ht="1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>
      <c r="B60" s="362" t="s">
        <v>0</v>
      </c>
      <c r="C60" s="494" t="s">
        <v>2139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ht="1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si="28" ref="F61:F64">$D$1</f>
        <v>1</v>
      </c>
      <c r="G61" s="304">
        <f t="shared" si="29" ref="G61:G64">F61*E61</f>
        <v>11.353607536764704</v>
      </c>
      <c r="H61" s="379"/>
      <c r="K61" t="str">
        <f t="shared" si="30" ref="K61:K95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ht="1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ht="1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ht="1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11:17" ht="15.75" thickBot="1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ht="1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ht="1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ht="1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ht="1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ht="1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ht="1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ht="1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ht="1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ht="1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ht="1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ht="1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ht="1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ht="1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ht="1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ht="1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ht="1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ht="1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ht="1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ht="1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ht="1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ht="1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7" ht="15">
      <c r="B96" s="64"/>
      <c r="C96" s="64"/>
      <c r="D96" s="64"/>
      <c r="E96" s="64"/>
      <c r="F96" s="64"/>
      <c r="G96" s="64"/>
    </row>
    <row r="422" spans="1:6" ht="1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ht="1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ht="1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ht="1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ht="1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ht="1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ht="1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ht="1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ht="1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ht="1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ht="1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ht="1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ht="1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ht="1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ht="1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ht="1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ht="1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ht="1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ht="1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ht="1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ht="1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ht="1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ht="1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ht="1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ht="1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ht="1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ht="1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ht="1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ht="1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ht="1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ht="1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ht="1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ht="1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2:6" ht="1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2:6" ht="1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2:6" ht="1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ht="1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ht="1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ht="1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ht="1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ht="1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ht="1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ht="1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ht="1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ht="1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ht="1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ht="1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ht="1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ht="1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ht="1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ht="1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ht="1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ht="1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ht="1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ht="1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ht="1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ht="1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ht="1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ht="1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ht="1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ht="1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ht="1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ht="1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ht="1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ht="1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ht="1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ht="1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ht="1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ht="1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ht="1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ht="1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priority="10" dxfId="34"/>
  </conditionalFormatting>
  <conditionalFormatting sqref="B89">
    <cfRule type="duplicateValues" priority="9" dxfId="34"/>
  </conditionalFormatting>
  <conditionalFormatting sqref="B47:B51">
    <cfRule type="duplicateValues" priority="61" dxfId="34"/>
  </conditionalFormatting>
  <conditionalFormatting sqref="B22:B23">
    <cfRule type="duplicateValues" priority="8" dxfId="34"/>
  </conditionalFormatting>
  <conditionalFormatting sqref="B24">
    <cfRule type="duplicateValues" priority="7" dxfId="34"/>
  </conditionalFormatting>
  <conditionalFormatting sqref="B32:B33">
    <cfRule type="duplicateValues" priority="6" dxfId="34"/>
  </conditionalFormatting>
  <conditionalFormatting sqref="B34">
    <cfRule type="duplicateValues" priority="5" dxfId="34"/>
  </conditionalFormatting>
  <hyperlinks>
    <hyperlink ref="I2" location="presu!A1" display="Presupuesto"/>
  </hyperlinks>
  <pageMargins left="0.7" right="0.7" top="0.75" bottom="0.75" header="0.3" footer="0.3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1" name="Option Button 25">
              <controlPr defaultSize="0" autoLine="0" autoPict="0">
                <macro>[0]!llevarcañeriapresu</macro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" name="Option Button 26">
              <controlPr defaultSize="0" autoLine="0" autoPict="0">
                <macro>[0]!soportemover</macro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3" name="Option Button 27">
              <controlPr defaultSize="0" autoLine="0" autoPict="0">
                <macro>[0]!soportelimpiar</macro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4" name="Option Button 28">
              <controlPr defaultSize="0" autoLine="0" autoPict="0">
                <macro>[0]!lineadelechemover</macro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5" name="Option Button 29">
              <controlPr defaultSize="0" autoLine="0" autoPict="0">
                <macro>[0]!tuberiadelechelimpiar</macro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6" name="Option Button 30">
              <controlPr defaultSize="0" autoLine="0" autoPict="0">
                <macro>[0]!transferenciamover</macro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10</xdr:col>
                    <xdr:colOff>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7" name="Option Button 31">
              <controlPr defaultSize="0" autoLine="0" autoPict="0">
                <macro>[0]!transferenciadelechelimpiar</macro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10</xdr:col>
                    <xdr:colOff>0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8" name="Option Button 34">
              <controlPr defaultSize="0" autoLine="0" autoPict="0">
                <macro>[0]!tuberiadelavadomover</macro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10</xdr:col>
                    <xdr:colOff>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9" name="Option Button 35">
              <controlPr defaultSize="0" autoLine="0" autoPict="0">
                <macro>[0]!tuberiadelavadolimpiar</macro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10</xdr:col>
                    <xdr:colOff>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0" name="Option Button 36">
              <controlPr defaultSize="0" autoLine="0" autoPict="0">
                <macro>[0]!basicotuberiadevaciomover</macro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10</xdr:col>
                    <xdr:colOff>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1" name="Option Button 37">
              <controlPr defaultSize="0" autoLine="0" autoPict="0">
                <macro>[0]!basicolimpiar</macro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10</xdr:col>
                    <xdr:colOff>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2" name="Option Button 40">
              <controlPr defaultSize="0" autoLine="0" autoPict="0">
                <macro>[0]!tuberiadevaciomover</macro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10</xdr:col>
                    <xdr:colOff>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3" name="Option Button 41">
              <controlPr defaultSize="0" autoLine="0" autoPict="0">
                <macro>[0]!tuberiadevaciolimpiar</macro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10</xdr:col>
                    <xdr:colOff>0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pageSetUpPr fitToPage="1"/>
  </sheetPr>
  <dimension ref="A3:K45"/>
  <sheetViews>
    <sheetView workbookViewId="0" topLeftCell="A1">
      <selection pane="topLeft" activeCell="A8" sqref="A8"/>
    </sheetView>
  </sheetViews>
  <sheetFormatPr defaultColWidth="8.714285714285714" defaultRowHeight="15"/>
  <cols>
    <col min="1" max="1" width="5.428571428571429" customWidth="1"/>
    <col min="2" max="2" width="10.714285714285714" bestFit="1" customWidth="1"/>
    <col min="3" max="3" width="47.42857142857143" customWidth="1"/>
    <col min="4" max="4" width="11.714285714285714" bestFit="1" customWidth="1"/>
    <col min="5" max="5" width="11.142857142857142" bestFit="1" customWidth="1"/>
    <col min="6" max="6" width="13.285714285714286" style="56" customWidth="1"/>
    <col min="7" max="7" width="4.428571428571429" customWidth="1"/>
    <col min="8" max="8" width="14.714285714285714" customWidth="1"/>
    <col min="9" max="9" width="34" customWidth="1"/>
  </cols>
  <sheetData>
    <row r="3" spans="2:9" ht="15">
      <c r="B3" t="s">
        <v>57</v>
      </c>
      <c r="C3" s="324"/>
      <c r="H3" s="292" t="s">
        <v>2083</v>
      </c>
      <c r="I3" s="292" t="s">
        <v>65</v>
      </c>
    </row>
    <row r="4" spans="8:9" ht="15.75" thickBot="1">
      <c r="H4" s="163"/>
      <c r="I4" s="293" t="s">
        <v>2264</v>
      </c>
    </row>
    <row r="5" spans="1:11" ht="26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ht="1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si="0" ref="F6:F43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ht="1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ht="1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ht="1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ht="1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ht="1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ht="1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6" ht="15">
      <c r="A13" s="36"/>
      <c r="B13" s="36"/>
      <c r="C13" s="35"/>
      <c r="D13" s="63"/>
      <c r="E13" s="58"/>
      <c r="F13" s="325">
        <f t="shared" si="0"/>
        <v>0</v>
      </c>
    </row>
    <row r="14" spans="1:6" ht="15">
      <c r="A14" s="36"/>
      <c r="B14" s="36"/>
      <c r="C14" s="35"/>
      <c r="D14" s="63"/>
      <c r="E14" s="58"/>
      <c r="F14" s="325">
        <f t="shared" si="0"/>
        <v>0</v>
      </c>
    </row>
    <row r="15" spans="1:6" ht="15">
      <c r="A15" s="36"/>
      <c r="B15" s="36"/>
      <c r="C15" s="35"/>
      <c r="D15" s="63"/>
      <c r="E15" s="58"/>
      <c r="F15" s="325">
        <f t="shared" si="0"/>
        <v>0</v>
      </c>
    </row>
    <row r="16" spans="1:6" ht="15">
      <c r="A16" s="36"/>
      <c r="B16" s="36"/>
      <c r="C16" s="35"/>
      <c r="D16" s="63"/>
      <c r="E16" s="58"/>
      <c r="F16" s="325">
        <f t="shared" si="0"/>
        <v>0</v>
      </c>
    </row>
    <row r="17" spans="1:6" ht="15">
      <c r="A17" s="36"/>
      <c r="B17" s="36"/>
      <c r="C17" s="35"/>
      <c r="D17" s="63"/>
      <c r="E17" s="58"/>
      <c r="F17" s="325">
        <f t="shared" si="0"/>
        <v>0</v>
      </c>
    </row>
    <row r="18" spans="1:6" ht="15">
      <c r="A18" s="36"/>
      <c r="B18" s="36"/>
      <c r="C18" s="35"/>
      <c r="D18" s="63"/>
      <c r="E18" s="58"/>
      <c r="F18" s="325">
        <f t="shared" si="0"/>
        <v>0</v>
      </c>
    </row>
    <row r="19" spans="1:6" ht="15">
      <c r="A19" s="36"/>
      <c r="B19" s="36"/>
      <c r="C19" s="35"/>
      <c r="D19" s="63"/>
      <c r="E19" s="58"/>
      <c r="F19" s="325">
        <f t="shared" si="0"/>
        <v>0</v>
      </c>
    </row>
    <row r="20" spans="1:6" ht="15">
      <c r="A20" s="36"/>
      <c r="B20" s="36"/>
      <c r="C20" s="35"/>
      <c r="D20" s="63"/>
      <c r="E20" s="58"/>
      <c r="F20" s="325">
        <f t="shared" si="0"/>
        <v>0</v>
      </c>
    </row>
    <row r="21" spans="1:6" ht="15">
      <c r="A21" s="36"/>
      <c r="B21" s="36"/>
      <c r="C21" s="35"/>
      <c r="D21" s="63"/>
      <c r="E21" s="58"/>
      <c r="F21" s="325">
        <f t="shared" si="0"/>
        <v>0</v>
      </c>
    </row>
    <row r="22" spans="1:6" ht="15">
      <c r="A22" s="36"/>
      <c r="B22" s="36"/>
      <c r="C22" s="35"/>
      <c r="D22" s="63"/>
      <c r="E22" s="58"/>
      <c r="F22" s="325">
        <f t="shared" si="0"/>
        <v>0</v>
      </c>
    </row>
    <row r="23" spans="1:6" ht="15">
      <c r="A23" s="36"/>
      <c r="B23" s="36"/>
      <c r="C23" s="35"/>
      <c r="D23" s="63"/>
      <c r="E23" s="58"/>
      <c r="F23" s="325">
        <f t="shared" si="0"/>
        <v>0</v>
      </c>
    </row>
    <row r="24" spans="1:6" ht="15">
      <c r="A24" s="36"/>
      <c r="B24" s="36"/>
      <c r="C24" s="35"/>
      <c r="D24" s="63"/>
      <c r="E24" s="58"/>
      <c r="F24" s="325">
        <f t="shared" si="0"/>
        <v>0</v>
      </c>
    </row>
    <row r="25" spans="1:6" ht="15">
      <c r="A25" s="36"/>
      <c r="B25" s="36"/>
      <c r="C25" s="35"/>
      <c r="D25" s="63"/>
      <c r="E25" s="58"/>
      <c r="F25" s="325">
        <f t="shared" si="0"/>
        <v>0</v>
      </c>
    </row>
    <row r="26" spans="1:6" ht="15">
      <c r="A26" s="36"/>
      <c r="B26" s="36"/>
      <c r="C26" s="35"/>
      <c r="D26" s="63"/>
      <c r="E26" s="58"/>
      <c r="F26" s="325">
        <f t="shared" si="0"/>
        <v>0</v>
      </c>
    </row>
    <row r="27" spans="1:6" ht="15">
      <c r="A27" s="36"/>
      <c r="B27" s="36"/>
      <c r="C27" s="35"/>
      <c r="D27" s="63"/>
      <c r="E27" s="58"/>
      <c r="F27" s="325">
        <f t="shared" si="0"/>
        <v>0</v>
      </c>
    </row>
    <row r="28" spans="1:6" ht="15">
      <c r="A28" s="36"/>
      <c r="B28" s="36"/>
      <c r="C28" s="35"/>
      <c r="D28" s="63"/>
      <c r="E28" s="58"/>
      <c r="F28" s="325">
        <f t="shared" si="0"/>
        <v>0</v>
      </c>
    </row>
    <row r="29" spans="1:6" ht="15">
      <c r="A29" s="36"/>
      <c r="B29" s="36"/>
      <c r="C29" s="35"/>
      <c r="D29" s="63"/>
      <c r="E29" s="58"/>
      <c r="F29" s="325">
        <f t="shared" si="0"/>
        <v>0</v>
      </c>
    </row>
    <row r="30" spans="1:6" ht="15">
      <c r="A30" s="36"/>
      <c r="B30" s="36"/>
      <c r="C30" s="35"/>
      <c r="D30" s="63"/>
      <c r="E30" s="58"/>
      <c r="F30" s="325">
        <f t="shared" si="0"/>
        <v>0</v>
      </c>
    </row>
    <row r="31" spans="1:6" ht="15">
      <c r="A31" s="36"/>
      <c r="B31" s="36"/>
      <c r="C31" s="35"/>
      <c r="D31" s="63"/>
      <c r="E31" s="58"/>
      <c r="F31" s="325">
        <f t="shared" si="0"/>
        <v>0</v>
      </c>
    </row>
    <row r="32" spans="1:6" ht="15">
      <c r="A32" s="36"/>
      <c r="B32" s="36"/>
      <c r="C32" s="35"/>
      <c r="D32" s="63"/>
      <c r="E32" s="58"/>
      <c r="F32" s="325">
        <f t="shared" si="0"/>
        <v>0</v>
      </c>
    </row>
    <row r="33" spans="1:6" ht="15">
      <c r="A33" s="36"/>
      <c r="B33" s="36"/>
      <c r="C33" s="35"/>
      <c r="D33" s="63"/>
      <c r="E33" s="58"/>
      <c r="F33" s="325">
        <f t="shared" si="0"/>
        <v>0</v>
      </c>
    </row>
    <row r="34" spans="1:6" ht="15">
      <c r="A34" s="36"/>
      <c r="B34" s="36"/>
      <c r="C34" s="35"/>
      <c r="D34" s="63"/>
      <c r="E34" s="58"/>
      <c r="F34" s="325">
        <f t="shared" si="0"/>
        <v>0</v>
      </c>
    </row>
    <row r="35" spans="1:6" ht="15">
      <c r="A35" s="36"/>
      <c r="B35" s="36"/>
      <c r="C35" s="35"/>
      <c r="D35" s="63"/>
      <c r="E35" s="58"/>
      <c r="F35" s="325">
        <f t="shared" si="0"/>
        <v>0</v>
      </c>
    </row>
    <row r="36" spans="1:6" ht="15">
      <c r="A36" s="36"/>
      <c r="B36" s="36"/>
      <c r="C36" s="35"/>
      <c r="D36" s="63"/>
      <c r="E36" s="58"/>
      <c r="F36" s="325">
        <f t="shared" si="0"/>
        <v>0</v>
      </c>
    </row>
    <row r="37" spans="1:6" ht="15">
      <c r="A37" s="36"/>
      <c r="B37" s="36"/>
      <c r="C37" s="35"/>
      <c r="D37" s="63"/>
      <c r="E37" s="58"/>
      <c r="F37" s="325">
        <f t="shared" si="0"/>
        <v>0</v>
      </c>
    </row>
    <row r="38" spans="1:6" ht="15">
      <c r="A38" s="36"/>
      <c r="B38" s="36"/>
      <c r="C38" s="35"/>
      <c r="D38" s="63"/>
      <c r="E38" s="58"/>
      <c r="F38" s="325">
        <f t="shared" si="0"/>
        <v>0</v>
      </c>
    </row>
    <row r="39" spans="1:6" ht="15">
      <c r="A39" s="36"/>
      <c r="B39" s="36"/>
      <c r="C39" s="35"/>
      <c r="D39" s="63"/>
      <c r="E39" s="58"/>
      <c r="F39" s="325">
        <f t="shared" si="0"/>
        <v>0</v>
      </c>
    </row>
    <row r="40" spans="1:6" ht="15">
      <c r="A40" s="36"/>
      <c r="B40" s="36"/>
      <c r="C40" s="35"/>
      <c r="D40" s="63"/>
      <c r="E40" s="58"/>
      <c r="F40" s="325">
        <f t="shared" si="0"/>
        <v>0</v>
      </c>
    </row>
    <row r="41" spans="1:6" ht="15">
      <c r="A41" s="36"/>
      <c r="B41" s="36"/>
      <c r="C41" s="35"/>
      <c r="D41" s="63"/>
      <c r="E41" s="58"/>
      <c r="F41" s="325">
        <f t="shared" si="0"/>
        <v>0</v>
      </c>
    </row>
    <row r="42" spans="1:6" ht="15">
      <c r="A42" s="36"/>
      <c r="B42" s="36"/>
      <c r="C42" s="35"/>
      <c r="D42" s="63"/>
      <c r="E42" s="58"/>
      <c r="F42" s="325">
        <f t="shared" si="0"/>
        <v>0</v>
      </c>
    </row>
    <row r="43" spans="1:6" ht="15">
      <c r="A43" s="36"/>
      <c r="B43" s="36"/>
      <c r="C43" s="35"/>
      <c r="D43" s="63"/>
      <c r="E43" s="58"/>
      <c r="F43" s="325">
        <f t="shared" si="0"/>
        <v>0</v>
      </c>
    </row>
    <row r="44" spans="1:6" ht="15">
      <c r="A44" s="36"/>
      <c r="B44" s="36"/>
      <c r="C44" s="35"/>
      <c r="D44" s="63"/>
      <c r="E44" s="58"/>
      <c r="F44" s="325">
        <f t="shared" si="1" ref="F44">+E44*A44</f>
        <v>0</v>
      </c>
    </row>
    <row r="45" spans="5:6" ht="15">
      <c r="E45" t="s">
        <v>2262</v>
      </c>
      <c r="F45" s="56">
        <f>SUM(F6:F44)</f>
        <v>2873.6860715944272</v>
      </c>
    </row>
  </sheetData>
  <conditionalFormatting sqref="B5">
    <cfRule type="duplicateValues" priority="57" dxfId="34"/>
  </conditionalFormatting>
  <conditionalFormatting sqref="H3">
    <cfRule type="duplicateValues" priority="56" dxfId="34"/>
  </conditionalFormatting>
  <conditionalFormatting sqref="H5">
    <cfRule type="duplicateValues" priority="1" dxfId="34"/>
  </conditionalFormatting>
  <pageMargins left="0.7" right="0.7" top="0.75" bottom="0.75" header="0.3" footer="0.3"/>
  <pageSetup orientation="portrait" paperSize="1" scale="62" r:id="rId10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" name="Button 1">
              <controlPr defaultSize="0" print="0" autoLine="0" autoPict="0">
                <macro>[0]!buscarxcodigo</macro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2" name="Button 2">
              <controlPr defaultSize="0" print="0" autoLine="0" autoPict="0">
                <macro>[0]!buscarxdescri</macro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3" name="Button 3">
              <controlPr defaultSize="0" print="0" autoLine="0" autoPict="0">
                <macro>[0]!limpiarbusqueda1</macro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4" name="Button 15">
              <controlPr defaultSize="0" print="0" autoLine="0" autoPict="0">
                <macro>[0]!buscarxcodigo</macro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5" name="Button 16">
              <controlPr defaultSize="0" print="0" autoLine="0" autoPict="0">
                <macro>[0]!buscarxdescri</macro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6" name="Button 20">
              <controlPr defaultSize="0" print="0" autoLine="0" autoPict="0">
                <macro>[0]!buscarxcodigo</macro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7" name="Button 22">
              <controlPr defaultSize="0" print="0" autoLine="0" autoPict="0">
                <macro>[0]!asignaraformulario</macro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C1"/>
  <sheetViews>
    <sheetView workbookViewId="0" topLeftCell="A1">
      <selection pane="topLeft" activeCell="H7" sqref="H7"/>
    </sheetView>
  </sheetViews>
  <sheetFormatPr defaultColWidth="8.714285714285714" defaultRowHeight="15"/>
  <cols>
    <col min="2" max="2" width="10.571428571428571" bestFit="1" customWidth="1"/>
    <col min="3" max="3" width="58.42857142857143" bestFit="1" customWidth="1"/>
    <col min="4" max="4" width="11.571428571428571" bestFit="1" customWidth="1"/>
    <col min="5" max="5" width="5.428571428571429" bestFit="1" customWidth="1"/>
  </cols>
  <sheetData>
    <row r="1" spans="3:3" ht="21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1" name="Button 1">
              <controlPr defaultSize="0" print="0" autoLine="0" autoPict="0">
                <macro>[0]!limpiarpackinglist</macro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G1370"/>
  <sheetViews>
    <sheetView workbookViewId="0" topLeftCell="A1">
      <pane xSplit="4" ySplit="4" topLeftCell="E5" activePane="bottomRight" state="frozen"/>
      <selection pane="topLeft" activeCell="A1" sqref="A1"/>
      <selection pane="bottomLeft" activeCell="A5" sqref="A5"/>
      <selection pane="topRight" activeCell="E1" sqref="E1"/>
      <selection pane="bottomRight" activeCell="D5" sqref="D5"/>
    </sheetView>
  </sheetViews>
  <sheetFormatPr defaultColWidth="8.714285714285714" defaultRowHeight="15"/>
  <cols>
    <col min="1" max="1" width="12.857142857142858" bestFit="1" customWidth="1"/>
    <col min="2" max="2" width="75.85714285714286" bestFit="1" customWidth="1"/>
    <col min="3" max="3" width="12.428571428571429" style="297" bestFit="1" customWidth="1"/>
    <col min="4" max="4" width="9.285714285714286" style="56" bestFit="1" customWidth="1"/>
    <col min="5" max="5" width="10.142857142857142" style="56" bestFit="1" customWidth="1"/>
  </cols>
  <sheetData>
    <row r="1" spans="3:3" ht="21">
      <c r="C1" s="296" t="s">
        <v>1879</v>
      </c>
    </row>
    <row r="3" spans="1:5" s="61" customFormat="1" ht="15.75" thickBot="1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ht="15">
      <c r="A5" s="36">
        <v>10029</v>
      </c>
      <c r="B5" s="35" t="s">
        <v>70</v>
      </c>
      <c r="C5" s="63">
        <v>100</v>
      </c>
      <c r="D5" s="58">
        <v>605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si="0" ref="G5:G68">+F5/D5</f>
        <v>1.0008689839572193</v>
      </c>
    </row>
    <row r="6" spans="1:7" ht="1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ht="1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ht="1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ht="1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ht="1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ht="1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ht="1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ht="1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ht="1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ht="1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ht="1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ht="1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ht="1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ht="1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ht="1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ht="1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ht="1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ht="1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ht="1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ht="1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ht="1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ht="1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ht="1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ht="1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ht="1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ht="1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ht="15">
      <c r="A33" s="36" t="s">
        <v>1021</v>
      </c>
      <c r="B33" s="37" t="s">
        <v>1022</v>
      </c>
      <c r="C33" s="63">
        <v>1</v>
      </c>
      <c r="D33" s="58">
        <f>+VLOOKUP(A33,[1]Base!$A$11:$O$1318,15,FALSE)</f>
        <v>0.086905677303601173</v>
      </c>
      <c r="E33" s="58">
        <f>+VLOOKUP(A33,[1]Base!$A$11:$R$1579,18,FALSE)</f>
        <v>0.10863209662950146</v>
      </c>
      <c r="F33">
        <f>+VLOOKUP(A33,[1]Base!$A$11:$O$1264,15,FALSE)</f>
        <v>0.086905677303601173</v>
      </c>
      <c r="G33">
        <f t="shared" si="0"/>
        <v>1</v>
      </c>
    </row>
    <row r="34" spans="1:7" ht="1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ht="1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ht="1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ht="1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ht="1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ht="1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ht="1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ht="1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ht="1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ht="1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ht="1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ht="1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ht="1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ht="15">
      <c r="A47" s="36" t="s">
        <v>1149</v>
      </c>
      <c r="B47" s="37" t="s">
        <v>1150</v>
      </c>
      <c r="C47" s="63">
        <v>4.50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ht="1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ht="1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ht="15">
      <c r="A50" s="36" t="s">
        <v>1155</v>
      </c>
      <c r="B50" s="37" t="s">
        <v>1156</v>
      </c>
      <c r="C50" s="63">
        <v>4.50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ht="1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ht="1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ht="1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ht="1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ht="1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ht="1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ht="1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ht="1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ht="1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ht="1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ht="1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ht="1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ht="1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ht="1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ht="1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ht="1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ht="1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ht="1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ht="1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si="1" ref="G69:G132">+F69/D69</f>
        <v>#N/A</v>
      </c>
    </row>
    <row r="70" spans="1:7" ht="1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ht="1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ht="1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ht="1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ht="1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ht="1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ht="1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ht="1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ht="1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ht="1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ht="1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ht="1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ht="1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ht="1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ht="1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ht="1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ht="1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ht="1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ht="1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ht="1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ht="1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ht="1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ht="1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ht="1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ht="1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ht="1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ht="1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ht="1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ht="1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ht="1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ht="1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ht="1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ht="1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ht="1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ht="1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ht="1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ht="1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ht="1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ht="1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ht="1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ht="1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ht="1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ht="1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ht="1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ht="1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ht="1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ht="1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ht="1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ht="1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ht="1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ht="1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ht="1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ht="1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ht="1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ht="1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ht="1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ht="1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ht="1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ht="1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ht="1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ht="1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ht="1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ht="1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ht="1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si="2" ref="G133:G195">+F133/D133</f>
        <v>1</v>
      </c>
    </row>
    <row r="134" spans="1:7" ht="1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ht="1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ht="1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ht="1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ht="1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ht="1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ht="1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ht="1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ht="1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ht="1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ht="1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ht="1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ht="1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ht="1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ht="1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ht="1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ht="1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ht="1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ht="1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ht="1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ht="1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ht="1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ht="1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ht="1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ht="1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ht="1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ht="1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ht="1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ht="1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ht="1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ht="1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ht="1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ht="1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ht="1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ht="1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ht="1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ht="1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ht="1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ht="1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ht="1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ht="1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ht="1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ht="1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ht="1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ht="1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ht="1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ht="1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ht="1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ht="1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ht="1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ht="1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ht="1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ht="1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ht="1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ht="1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ht="1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ht="1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ht="1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ht="1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ht="1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ht="1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ht="1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ht="1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si="3" ref="G196:G259">+F196/D196</f>
        <v>1</v>
      </c>
    </row>
    <row r="197" spans="1:7" ht="1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ht="1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ht="1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ht="1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ht="1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ht="1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ht="1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ht="1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ht="1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ht="1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ht="1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ht="1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ht="1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ht="1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ht="1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ht="1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ht="1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ht="1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ht="1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ht="1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ht="1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ht="1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ht="1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ht="1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ht="1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ht="1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ht="1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ht="1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ht="1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ht="1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ht="1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ht="1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ht="1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ht="1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ht="1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ht="1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ht="1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ht="1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ht="1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ht="1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ht="1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ht="1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ht="1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ht="1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ht="1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ht="1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ht="1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ht="1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ht="1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ht="1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ht="1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ht="1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ht="1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ht="1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ht="1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ht="1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ht="1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ht="1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ht="1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ht="1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ht="1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ht="1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ht="1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ht="1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si="4" ref="G260:G323">+F260/D260</f>
        <v>1</v>
      </c>
    </row>
    <row r="261" spans="1:7" ht="1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ht="1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ht="15">
      <c r="A263" s="36" t="s">
        <v>563</v>
      </c>
      <c r="B263" s="35" t="s">
        <v>564</v>
      </c>
      <c r="C263" s="63">
        <v>11.50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ht="1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ht="1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ht="1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ht="1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ht="1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ht="1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ht="1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ht="1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ht="1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ht="1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ht="1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ht="1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ht="1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ht="1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ht="1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ht="1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ht="1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ht="1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ht="1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ht="1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ht="1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ht="1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ht="1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ht="1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ht="1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ht="1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ht="1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ht="1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ht="1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ht="1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ht="1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ht="1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ht="1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ht="1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ht="1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ht="1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ht="1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ht="1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ht="1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ht="1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ht="1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ht="1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ht="1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ht="1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ht="1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ht="1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ht="1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ht="1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ht="1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ht="1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ht="1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ht="1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ht="1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ht="1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ht="1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ht="1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ht="1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ht="1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ht="1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ht="1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ht="1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si="5" ref="G324:G387">+F324/D324</f>
        <v>#N/A</v>
      </c>
    </row>
    <row r="325" spans="1:7" ht="1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ht="1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ht="1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ht="1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ht="1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ht="1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ht="1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ht="1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ht="1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ht="1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ht="1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ht="1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ht="1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ht="1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ht="1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ht="1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ht="1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ht="1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ht="1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ht="1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ht="1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ht="1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ht="1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ht="1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ht="1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ht="1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ht="1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ht="1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ht="1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ht="1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ht="1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ht="1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ht="1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ht="1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ht="1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ht="1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ht="1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ht="1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ht="1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ht="1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ht="1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ht="1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ht="1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ht="1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ht="1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ht="1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ht="1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ht="1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ht="1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ht="1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ht="1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ht="1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ht="1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ht="1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ht="1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ht="1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ht="1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ht="1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ht="1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ht="1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ht="1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ht="1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ht="1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ht="1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si="6" ref="G388:G451">+F388/D388</f>
        <v>1</v>
      </c>
    </row>
    <row r="389" spans="1:7" ht="1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ht="1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ht="1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ht="1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ht="1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ht="1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ht="1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ht="1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17.546484375</v>
      </c>
      <c r="F396">
        <f>+VLOOKUP(A396,[1]Base!$A$11:$O$1264,15,FALSE)</f>
        <v>14.0371875</v>
      </c>
      <c r="G396">
        <f t="shared" si="6"/>
        <v>1</v>
      </c>
    </row>
    <row r="397" spans="1:7" ht="1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ht="1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ht="1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ht="1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ht="1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ht="1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ht="1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ht="1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ht="1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ht="1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ht="1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ht="1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ht="1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ht="1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ht="1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ht="1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ht="1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ht="1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ht="1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ht="1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ht="1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ht="1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ht="1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ht="1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ht="1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ht="1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ht="1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ht="1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ht="1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ht="1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ht="1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ht="1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ht="1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ht="1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ht="1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ht="1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ht="1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ht="1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ht="1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ht="1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ht="1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ht="1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ht="1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ht="1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ht="1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ht="1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ht="1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ht="1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ht="1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ht="1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ht="1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ht="1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ht="1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ht="1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ht="1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ht="1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si="7" ref="G452:G515">+F452/D452</f>
        <v>1</v>
      </c>
    </row>
    <row r="453" spans="1:7" ht="1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ht="1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ht="1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ht="1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ht="1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ht="1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ht="1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ht="1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ht="1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ht="1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ht="1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ht="1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ht="1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ht="1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ht="1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ht="1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ht="1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ht="1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ht="1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ht="1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ht="1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ht="1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ht="1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ht="1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ht="1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ht="1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ht="1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ht="1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ht="1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ht="1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ht="1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ht="1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ht="1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ht="1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ht="1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ht="1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ht="1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ht="1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ht="1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ht="1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ht="1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ht="1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ht="1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ht="1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ht="1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ht="1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ht="1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ht="1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ht="1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ht="1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ht="1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ht="1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ht="1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ht="1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ht="1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ht="1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ht="1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ht="1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ht="1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ht="1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ht="1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ht="1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ht="1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ht="1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si="8" ref="G516:G579">+F516/D516</f>
        <v>1</v>
      </c>
    </row>
    <row r="517" spans="1:7" ht="1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ht="1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ht="1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ht="1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ht="1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ht="1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ht="1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ht="1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ht="1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ht="1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ht="1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ht="1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ht="1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ht="1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ht="1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ht="1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ht="1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ht="1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ht="1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ht="1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ht="1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ht="1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ht="1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ht="1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ht="1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ht="1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ht="1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ht="1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ht="1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ht="1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ht="1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ht="1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ht="1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ht="1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ht="1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ht="1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ht="1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ht="1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ht="1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ht="1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ht="1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ht="1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ht="1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ht="1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ht="1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ht="1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ht="1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ht="1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ht="1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ht="1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ht="1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ht="1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ht="1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ht="1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ht="1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ht="1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ht="1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ht="1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ht="1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ht="1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ht="1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ht="1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ht="1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ht="1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si="9" ref="G580:G643">+F580/D580</f>
        <v>1</v>
      </c>
    </row>
    <row r="581" spans="1:7" ht="1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ht="1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ht="1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ht="1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ht="1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ht="1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ht="1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ht="1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ht="1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ht="1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ht="1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ht="1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ht="1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ht="1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ht="15">
      <c r="A595" s="36">
        <v>1997020</v>
      </c>
      <c r="B595" s="35" t="s">
        <v>88</v>
      </c>
      <c r="C595" s="63">
        <v>1</v>
      </c>
      <c r="D595" s="58">
        <f>+VLOOKUP(A595,[1]Base!$A$11:$O$1318,15,FALSE)</f>
        <v>0.055047794117647049</v>
      </c>
      <c r="E595" s="58">
        <f>+VLOOKUP(A595,[1]Base!$A$11:$R$1579,18,FALSE)</f>
        <v>0.068809742647058803</v>
      </c>
      <c r="F595">
        <f>+VLOOKUP(A595,[1]Base!$A$11:$O$1264,15,FALSE)</f>
        <v>0.055047794117647049</v>
      </c>
      <c r="G595">
        <f t="shared" si="9"/>
        <v>1</v>
      </c>
    </row>
    <row r="596" spans="1:7" ht="1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ht="1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ht="1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ht="1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ht="1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ht="1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ht="1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ht="1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ht="1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ht="1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ht="1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ht="1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ht="1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ht="1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ht="1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ht="1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ht="1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ht="1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ht="1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ht="1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ht="1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ht="1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ht="1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ht="1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ht="1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ht="1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ht="1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ht="1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ht="1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ht="1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ht="1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ht="1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ht="1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ht="1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ht="1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ht="1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ht="1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ht="1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ht="1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ht="1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ht="1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ht="1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ht="1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ht="1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ht="1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ht="1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ht="1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ht="1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ht="1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si="10" ref="G644:G707">+F644/D644</f>
        <v>1</v>
      </c>
    </row>
    <row r="645" spans="1:7" ht="1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ht="1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ht="1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ht="1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ht="1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ht="1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ht="1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ht="1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ht="1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ht="1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ht="1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ht="1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ht="1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ht="1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ht="1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ht="1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ht="1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ht="1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ht="1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ht="1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ht="1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ht="1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ht="1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ht="1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ht="1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ht="1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ht="1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ht="1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ht="1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ht="1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ht="1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ht="1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ht="1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ht="1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ht="1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ht="1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ht="1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ht="1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ht="1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ht="1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ht="1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ht="1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ht="1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ht="1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ht="1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ht="1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ht="1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ht="1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ht="1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ht="1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ht="1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ht="1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ht="1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ht="1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ht="1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ht="1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ht="1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ht="1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ht="1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ht="1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ht="1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ht="1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ht="1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ht="1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si="11" ref="G708:G771">+F708/D708</f>
        <v>1</v>
      </c>
    </row>
    <row r="709" spans="1:7" ht="1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ht="1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ht="1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ht="1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ht="1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ht="1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ht="1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ht="1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ht="1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ht="1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ht="1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ht="1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ht="1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ht="1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ht="1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ht="1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ht="1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ht="1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ht="1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ht="1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ht="1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ht="1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ht="1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ht="1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ht="1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ht="1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ht="1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ht="1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ht="1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ht="1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ht="1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ht="1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ht="1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ht="1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ht="1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ht="1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ht="1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ht="1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ht="1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ht="1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ht="1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ht="1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ht="1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ht="1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ht="1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ht="1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ht="1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ht="1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ht="1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ht="1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ht="1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ht="1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ht="1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ht="1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ht="1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ht="1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ht="1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ht="1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ht="1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ht="1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ht="1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ht="1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ht="1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ht="1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si="12" ref="G772:G835">+F772/D772</f>
        <v>1</v>
      </c>
    </row>
    <row r="773" spans="1:7" ht="1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ht="1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ht="1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ht="1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ht="1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ht="1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ht="1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ht="1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ht="1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ht="1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ht="1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ht="1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ht="1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ht="1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ht="1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ht="1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ht="1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ht="1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ht="1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ht="1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ht="1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ht="1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ht="1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ht="1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ht="1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ht="1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ht="1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ht="1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ht="1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ht="1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ht="1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ht="1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ht="1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ht="1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ht="1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ht="1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ht="1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ht="1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ht="1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ht="1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ht="1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ht="1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ht="1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ht="1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ht="1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ht="1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ht="1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ht="1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ht="1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ht="1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ht="1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ht="1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ht="1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ht="1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ht="1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ht="1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ht="1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ht="1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ht="1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ht="1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ht="1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ht="1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ht="1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ht="1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si="13" ref="G836:G899">+F836/D836</f>
        <v>1</v>
      </c>
    </row>
    <row r="837" spans="1:7" ht="1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ht="1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ht="1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ht="1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ht="1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ht="1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ht="1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ht="1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ht="1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ht="1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ht="1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ht="1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ht="1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ht="1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ht="1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ht="1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ht="1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ht="1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ht="1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ht="1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ht="1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ht="1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ht="1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ht="1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ht="1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ht="1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ht="1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ht="1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ht="1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ht="1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ht="1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ht="1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ht="1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ht="1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ht="1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ht="1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ht="1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ht="1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ht="1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ht="1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ht="1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ht="1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ht="1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ht="1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ht="1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ht="1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ht="1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ht="1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ht="1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ht="1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ht="1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ht="1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ht="1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ht="1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ht="1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ht="1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ht="1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ht="1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ht="1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ht="1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ht="1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ht="1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ht="1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ht="1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si="14" ref="G900:G963">+F900/D900</f>
        <v>1</v>
      </c>
    </row>
    <row r="901" spans="1:7" ht="1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ht="1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ht="1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ht="1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ht="1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ht="1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ht="1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ht="1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ht="1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ht="1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ht="1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ht="1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ht="1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ht="1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ht="1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ht="1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ht="1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ht="1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ht="1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ht="1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ht="1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ht="1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ht="1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ht="1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ht="1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ht="1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ht="1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ht="1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ht="1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ht="1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ht="1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ht="1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ht="1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ht="1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ht="1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ht="1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ht="1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0.078215109573241057</v>
      </c>
      <c r="E937" s="58">
        <f>+VLOOKUP(A937,[1]Base!$A$11:$R$1579,18,FALSE)</f>
        <v>0.097768886966551311</v>
      </c>
      <c r="F937">
        <f>+VLOOKUP(A937,[1]Base!$A$11:$O$1264,15,FALSE)</f>
        <v>0.078215109573241057</v>
      </c>
      <c r="G937">
        <f t="shared" si="14"/>
        <v>1</v>
      </c>
    </row>
    <row r="938" spans="1:7" ht="1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0.013831724640320522</v>
      </c>
      <c r="E938" s="58">
        <f>+VLOOKUP(A938,[1]Base!$A$11:$R$1579,18,FALSE)</f>
        <v>0.017289655800400653</v>
      </c>
      <c r="F938">
        <f>+VLOOKUP(A938,[1]Base!$A$11:$O$1264,15,FALSE)</f>
        <v>0.013831724640320522</v>
      </c>
      <c r="G938">
        <f t="shared" si="14"/>
        <v>1</v>
      </c>
    </row>
    <row r="939" spans="1:7" ht="1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0.013831724640320522</v>
      </c>
      <c r="E939" s="58">
        <f>+VLOOKUP(A939,[1]Base!$A$11:$R$1579,18,FALSE)</f>
        <v>0.017289655800400653</v>
      </c>
      <c r="F939">
        <f>+VLOOKUP(A939,[1]Base!$A$11:$O$1264,15,FALSE)</f>
        <v>0.013831724640320522</v>
      </c>
      <c r="G939">
        <f t="shared" si="14"/>
        <v>1</v>
      </c>
    </row>
    <row r="940" spans="1:7" ht="1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ht="1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ht="1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ht="1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0.066252798697333609</v>
      </c>
      <c r="E943" s="58">
        <f>+VLOOKUP(A943,[1]Base!$A$11:$R$1579,18,FALSE)</f>
        <v>0.082815998371667005</v>
      </c>
      <c r="F943">
        <f>+VLOOKUP(A943,[1]Base!$A$11:$O$1264,15,FALSE)</f>
        <v>0.066252798697333609</v>
      </c>
      <c r="G943">
        <f t="shared" si="14"/>
        <v>1</v>
      </c>
    </row>
    <row r="944" spans="1:7" ht="1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0.066252798697333609</v>
      </c>
      <c r="E944" s="58">
        <f>+VLOOKUP(A944,[1]Base!$A$11:$R$1579,18,FALSE)</f>
        <v>0.082815998371667005</v>
      </c>
      <c r="F944">
        <f>+VLOOKUP(A944,[1]Base!$A$11:$O$1264,15,FALSE)</f>
        <v>0.066252798697333609</v>
      </c>
      <c r="G944">
        <f t="shared" si="14"/>
        <v>1</v>
      </c>
    </row>
    <row r="945" spans="1:7" ht="1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0.033126399348666805</v>
      </c>
      <c r="E945" s="58">
        <f>+VLOOKUP(A945,[1]Base!$A$11:$R$1579,18,FALSE)</f>
        <v>0.041407999185833502</v>
      </c>
      <c r="F945">
        <f>+VLOOKUP(A945,[1]Base!$A$11:$O$1264,15,FALSE)</f>
        <v>0.033126399348666805</v>
      </c>
      <c r="G945">
        <f t="shared" si="14"/>
        <v>1</v>
      </c>
    </row>
    <row r="946" spans="1:7" ht="1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0.066252798697333609</v>
      </c>
      <c r="E946" s="58">
        <f>+VLOOKUP(A946,[1]Base!$A$11:$R$1579,18,FALSE)</f>
        <v>0.082815998371667005</v>
      </c>
      <c r="F946">
        <f>+VLOOKUP(A946,[1]Base!$A$11:$O$1264,15,FALSE)</f>
        <v>0.066252798697333609</v>
      </c>
      <c r="G946">
        <f t="shared" si="14"/>
        <v>1</v>
      </c>
    </row>
    <row r="947" spans="1:7" ht="1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0.066252798697333609</v>
      </c>
      <c r="E947" s="58">
        <f>+VLOOKUP(A947,[1]Base!$A$11:$R$1579,18,FALSE)</f>
        <v>0.082815998371667005</v>
      </c>
      <c r="F947">
        <f>+VLOOKUP(A947,[1]Base!$A$11:$O$1264,15,FALSE)</f>
        <v>0.066252798697333609</v>
      </c>
      <c r="G947">
        <f t="shared" si="14"/>
        <v>1</v>
      </c>
    </row>
    <row r="948" spans="1:7" ht="1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ht="1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ht="1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ht="1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ht="1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0.052143406382160702</v>
      </c>
      <c r="E952" s="58">
        <f>+VLOOKUP(A952,[1]Base!$A$11:$R$1579,18,FALSE)</f>
        <v>0.065179257977700869</v>
      </c>
      <c r="F952">
        <f>+VLOOKUP(A952,[1]Base!$A$11:$O$1264,15,FALSE)</f>
        <v>0.052143406382160702</v>
      </c>
      <c r="G952">
        <f t="shared" si="14"/>
        <v>1</v>
      </c>
    </row>
    <row r="953" spans="1:7" ht="1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ht="1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ht="1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0.09879803314514661</v>
      </c>
      <c r="E955" s="58">
        <f>+VLOOKUP(A955,[1]Base!$A$11:$R$1579,18,FALSE)</f>
        <v>0.12349754143143325</v>
      </c>
      <c r="F955">
        <f>+VLOOKUP(A955,[1]Base!$A$11:$O$1264,15,FALSE)</f>
        <v>0.09879803314514661</v>
      </c>
      <c r="G955">
        <f t="shared" si="14"/>
        <v>1</v>
      </c>
    </row>
    <row r="956" spans="1:7" ht="1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0.049399016572573305</v>
      </c>
      <c r="E956" s="58">
        <f>+VLOOKUP(A956,[1]Base!$A$11:$R$1579,18,FALSE)</f>
        <v>0.061748770715716626</v>
      </c>
      <c r="F956">
        <f>+VLOOKUP(A956,[1]Base!$A$11:$O$1264,15,FALSE)</f>
        <v>0.049399016572573305</v>
      </c>
      <c r="G956">
        <f t="shared" si="14"/>
        <v>1</v>
      </c>
    </row>
    <row r="957" spans="1:7" ht="1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0.069158623201602626</v>
      </c>
      <c r="E957" s="58">
        <f>+VLOOKUP(A957,[1]Base!$A$11:$R$1579,18,FALSE)</f>
        <v>0.086448279002003275</v>
      </c>
      <c r="F957">
        <f>+VLOOKUP(A957,[1]Base!$A$11:$O$1264,15,FALSE)</f>
        <v>0.069158623201602626</v>
      </c>
      <c r="G957">
        <f t="shared" si="14"/>
        <v>1</v>
      </c>
    </row>
    <row r="958" spans="1:7" ht="1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ht="1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ht="1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0.077294931813555887</v>
      </c>
      <c r="E960" s="58">
        <f>+VLOOKUP(A960,[1]Base!$A$11:$R$1579,18,FALSE)</f>
        <v>0.096618664766944848</v>
      </c>
      <c r="F960">
        <f>+VLOOKUP(A960,[1]Base!$A$11:$O$1264,15,FALSE)</f>
        <v>0.077294931813555887</v>
      </c>
      <c r="G960">
        <f t="shared" si="14"/>
        <v>1</v>
      </c>
    </row>
    <row r="961" spans="1:7" ht="1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ht="1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ht="1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ht="1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si="15" ref="G964:G1027">+F964/D964</f>
        <v>1</v>
      </c>
    </row>
    <row r="965" spans="1:7" ht="1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ht="1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ht="1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ht="1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ht="1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ht="1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ht="1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0.092017775968518886</v>
      </c>
      <c r="E971" s="58">
        <f>+VLOOKUP(A971,[1]Base!$A$11:$R$1579,18,FALSE)</f>
        <v>0.1150222199606486</v>
      </c>
      <c r="F971">
        <f>+VLOOKUP(A971,[1]Base!$A$11:$O$1264,15,FALSE)</f>
        <v>0.092017775968518886</v>
      </c>
      <c r="G971">
        <f t="shared" si="15"/>
        <v>1</v>
      </c>
    </row>
    <row r="972" spans="1:7" ht="1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ht="1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ht="1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ht="1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ht="1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ht="1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ht="1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ht="1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ht="1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0.053881519928232736</v>
      </c>
      <c r="E980" s="58">
        <f>+VLOOKUP(A980,[1]Base!$A$11:$R$1579,18,FALSE)</f>
        <v>0.067351899910290919</v>
      </c>
      <c r="F980">
        <f>+VLOOKUP(A980,[1]Base!$A$11:$O$1264,15,FALSE)</f>
        <v>0.053881519928232736</v>
      </c>
      <c r="G980">
        <f t="shared" si="15"/>
        <v>1</v>
      </c>
    </row>
    <row r="981" spans="1:7" ht="1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ht="1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ht="1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ht="1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ht="1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0.082331694287622187</v>
      </c>
      <c r="E985" s="58">
        <f>+VLOOKUP(A985,[1]Base!$A$11:$R$1579,18,FALSE)</f>
        <v>0.10291461785952773</v>
      </c>
      <c r="F985">
        <f>+VLOOKUP(A985,[1]Base!$A$11:$O$1264,15,FALSE)</f>
        <v>0.082331694287622187</v>
      </c>
      <c r="G985">
        <f t="shared" si="15"/>
        <v>1</v>
      </c>
    </row>
    <row r="986" spans="1:7" ht="1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ht="1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ht="1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ht="1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ht="1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ht="1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ht="1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ht="1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ht="1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ht="1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ht="1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0.055210665581111339</v>
      </c>
      <c r="E996" s="58">
        <f>+VLOOKUP(A996,[1]Base!$A$11:$R$1579,18,FALSE)</f>
        <v>0.069013331976389175</v>
      </c>
      <c r="F996">
        <f>+VLOOKUP(A996,[1]Base!$A$11:$O$1264,15,FALSE)</f>
        <v>0.055210665581111339</v>
      </c>
      <c r="G996">
        <f t="shared" si="15"/>
        <v>1</v>
      </c>
    </row>
    <row r="997" spans="1:7" ht="1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ht="1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ht="1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ht="1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ht="1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ht="1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0.055210665581111339</v>
      </c>
      <c r="E1002" s="58">
        <f>+VLOOKUP(A1002,[1]Base!$A$11:$R$1579,18,FALSE)</f>
        <v>0.069013331976389175</v>
      </c>
      <c r="F1002">
        <f>+VLOOKUP(A1002,[1]Base!$A$11:$O$1264,15,FALSE)</f>
        <v>0.055210665581111339</v>
      </c>
      <c r="G1002">
        <f t="shared" si="15"/>
        <v>1</v>
      </c>
    </row>
    <row r="1003" spans="1:7" ht="1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ht="1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ht="1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ht="1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ht="1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ht="1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ht="1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0.055210665581111339</v>
      </c>
      <c r="E1009" s="58">
        <f>+VLOOKUP(A1009,[1]Base!$A$11:$R$1579,18,FALSE)</f>
        <v>0.069013331976389175</v>
      </c>
      <c r="F1009">
        <f>+VLOOKUP(A1009,[1]Base!$A$11:$O$1264,15,FALSE)</f>
        <v>0.055210665581111339</v>
      </c>
      <c r="G1009">
        <f t="shared" si="15"/>
        <v>1</v>
      </c>
    </row>
    <row r="1010" spans="1:7" ht="1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ht="1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ht="1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0.055210665581111339</v>
      </c>
      <c r="E1012" s="58">
        <f>+VLOOKUP(A1012,[1]Base!$A$11:$R$1579,18,FALSE)</f>
        <v>0.069013331976389175</v>
      </c>
      <c r="F1012">
        <f>+VLOOKUP(A1012,[1]Base!$A$11:$O$1264,15,FALSE)</f>
        <v>0.055210665581111339</v>
      </c>
      <c r="G1012">
        <f t="shared" si="15"/>
        <v>1</v>
      </c>
    </row>
    <row r="1013" spans="1:7" ht="1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0.092017775968518886</v>
      </c>
      <c r="E1013" s="58">
        <f>+VLOOKUP(A1013,[1]Base!$A$11:$R$1579,18,FALSE)</f>
        <v>0.1150222199606486</v>
      </c>
      <c r="F1013">
        <f>+VLOOKUP(A1013,[1]Base!$A$11:$O$1264,15,FALSE)</f>
        <v>0.092017775968518886</v>
      </c>
      <c r="G1013">
        <f t="shared" si="15"/>
        <v>1</v>
      </c>
    </row>
    <row r="1014" spans="1:7" ht="1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0.092017775968518886</v>
      </c>
      <c r="E1014" s="58">
        <f>+VLOOKUP(A1014,[1]Base!$A$11:$R$1579,18,FALSE)</f>
        <v>0.1150222199606486</v>
      </c>
      <c r="F1014">
        <f>+VLOOKUP(A1014,[1]Base!$A$11:$O$1264,15,FALSE)</f>
        <v>0.092017775968518886</v>
      </c>
      <c r="G1014">
        <f t="shared" si="15"/>
        <v>1</v>
      </c>
    </row>
    <row r="1015" spans="1:7" ht="1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ht="1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0.046008887984259443</v>
      </c>
      <c r="E1016" s="58">
        <f>+VLOOKUP(A1016,[1]Base!$A$11:$R$1579,18,FALSE)</f>
        <v>0.057511109980324299</v>
      </c>
      <c r="F1016">
        <f>+VLOOKUP(A1016,[1]Base!$A$11:$O$1264,15,FALSE)</f>
        <v>0.046008887984259443</v>
      </c>
      <c r="G1016">
        <f t="shared" si="15"/>
        <v>1</v>
      </c>
    </row>
    <row r="1017" spans="1:7" ht="1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ht="1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ht="1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ht="1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ht="1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ht="1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ht="1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ht="1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ht="1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ht="1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ht="1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ht="1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si="16" ref="G1028:G1091">+F1028/D1028</f>
        <v>1</v>
      </c>
    </row>
    <row r="1029" spans="1:7" ht="1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0.062572087658592845</v>
      </c>
      <c r="E1029" s="58">
        <f>+VLOOKUP(A1029,[1]Base!$A$11:$R$1579,18,FALSE)</f>
        <v>0.078215109573241057</v>
      </c>
      <c r="F1029">
        <f>+VLOOKUP(A1029,[1]Base!$A$11:$O$1264,15,FALSE)</f>
        <v>0.062572087658592845</v>
      </c>
      <c r="G1029">
        <f t="shared" si="16"/>
        <v>1</v>
      </c>
    </row>
    <row r="1030" spans="1:7" ht="1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ht="1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ht="1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ht="1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ht="1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ht="1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0.068093154216703963</v>
      </c>
      <c r="E1035" s="58">
        <f>+VLOOKUP(A1035,[1]Base!$A$11:$R$1579,18,FALSE)</f>
        <v>0.085116442770879944</v>
      </c>
      <c r="F1035">
        <f>+VLOOKUP(A1035,[1]Base!$A$11:$O$1264,15,FALSE)</f>
        <v>0.068093154216703963</v>
      </c>
      <c r="G1035">
        <f t="shared" si="16"/>
        <v>1</v>
      </c>
    </row>
    <row r="1036" spans="1:7" ht="1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0.068093154216703963</v>
      </c>
      <c r="E1036" s="58">
        <f>+VLOOKUP(A1036,[1]Base!$A$11:$R$1579,18,FALSE)</f>
        <v>0.085116442770879944</v>
      </c>
      <c r="F1036">
        <f>+VLOOKUP(A1036,[1]Base!$A$11:$O$1264,15,FALSE)</f>
        <v>0.068093154216703963</v>
      </c>
      <c r="G1036">
        <f t="shared" si="16"/>
        <v>1</v>
      </c>
    </row>
    <row r="1037" spans="1:7" ht="1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0.068093154216703963</v>
      </c>
      <c r="E1037" s="58">
        <f>+VLOOKUP(A1037,[1]Base!$A$11:$R$1579,18,FALSE)</f>
        <v>0.085116442770879944</v>
      </c>
      <c r="F1037">
        <f>+VLOOKUP(A1037,[1]Base!$A$11:$O$1264,15,FALSE)</f>
        <v>0.068093154216703963</v>
      </c>
      <c r="G1037">
        <f t="shared" si="16"/>
        <v>1</v>
      </c>
    </row>
    <row r="1038" spans="1:7" ht="1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ht="1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ht="1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ht="1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ht="1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ht="1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ht="1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ht="1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ht="1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ht="1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ht="1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0.050485794937169905</v>
      </c>
      <c r="E1048" s="58">
        <f>+VLOOKUP(A1048,[1]Base!$A$11:$R$1579,18,FALSE)</f>
        <v>0.063107243671462379</v>
      </c>
      <c r="F1048">
        <f>+VLOOKUP(A1048,[1]Base!$A$11:$O$1264,15,FALSE)</f>
        <v>0.050485794937169905</v>
      </c>
      <c r="G1048">
        <f t="shared" si="16"/>
        <v>1</v>
      </c>
    </row>
    <row r="1049" spans="1:7" ht="1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ht="1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ht="1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ht="1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ht="1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ht="1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ht="1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ht="1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ht="1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ht="1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0.086794072118011295</v>
      </c>
      <c r="E1058" s="58">
        <f>+VLOOKUP(A1058,[1]Base!$A$11:$R$1579,18,FALSE)</f>
        <v>0.10849259014751411</v>
      </c>
      <c r="F1058">
        <f>+VLOOKUP(A1058,[1]Base!$A$11:$O$1264,15,FALSE)</f>
        <v>0.086794072118011295</v>
      </c>
      <c r="G1058">
        <f t="shared" si="16"/>
        <v>1</v>
      </c>
    </row>
    <row r="1059" spans="1:7" ht="1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0.060513795301402287</v>
      </c>
      <c r="E1059" s="58">
        <f>+VLOOKUP(A1059,[1]Base!$A$11:$R$1579,18,FALSE)</f>
        <v>0.075642244126752856</v>
      </c>
      <c r="F1059">
        <f>+VLOOKUP(A1059,[1]Base!$A$11:$O$1264,15,FALSE)</f>
        <v>0.060513795301402287</v>
      </c>
      <c r="G1059">
        <f t="shared" si="16"/>
        <v>1</v>
      </c>
    </row>
    <row r="1060" spans="1:7" ht="1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0.074691313057730829</v>
      </c>
      <c r="E1060" s="58">
        <f>+VLOOKUP(A1060,[1]Base!$A$11:$R$1579,18,FALSE)</f>
        <v>0.09336414132216353</v>
      </c>
      <c r="F1060">
        <f>+VLOOKUP(A1060,[1]Base!$A$11:$O$1264,15,FALSE)</f>
        <v>0.074691313057730829</v>
      </c>
      <c r="G1060">
        <f t="shared" si="16"/>
        <v>1</v>
      </c>
    </row>
    <row r="1061" spans="1:7" ht="1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ht="1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ht="1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ht="1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ht="1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ht="1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ht="1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ht="1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ht="1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ht="1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ht="1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ht="1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ht="1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ht="1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0.044168532464889061</v>
      </c>
      <c r="E1074" s="58">
        <f>+VLOOKUP(A1074,[1]Base!$A$11:$R$1579,18,FALSE)</f>
        <v>0.055210665581111325</v>
      </c>
      <c r="F1074">
        <f>+VLOOKUP(A1074,[1]Base!$A$11:$O$1264,15,FALSE)</f>
        <v>0.044168532464889061</v>
      </c>
      <c r="G1074">
        <f t="shared" si="16"/>
        <v>1</v>
      </c>
    </row>
    <row r="1075" spans="1:7" ht="1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0.044168532464889061</v>
      </c>
      <c r="E1075" s="58">
        <f>+VLOOKUP(A1075,[1]Base!$A$11:$R$1579,18,FALSE)</f>
        <v>0.055210665581111325</v>
      </c>
      <c r="F1075">
        <f>+VLOOKUP(A1075,[1]Base!$A$11:$O$1264,15,FALSE)</f>
        <v>0.044168532464889061</v>
      </c>
      <c r="G1075">
        <f t="shared" si="16"/>
        <v>1</v>
      </c>
    </row>
    <row r="1076" spans="1:7" ht="1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ht="1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ht="1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0.022084266232444531</v>
      </c>
      <c r="E1078" s="58">
        <f>+VLOOKUP(A1078,[1]Base!$A$11:$R$1579,18,FALSE)</f>
        <v>0.027605332790555662</v>
      </c>
      <c r="F1078">
        <f>+VLOOKUP(A1078,[1]Base!$A$11:$O$1264,15,FALSE)</f>
        <v>0.022084266232444531</v>
      </c>
      <c r="G1078">
        <f t="shared" si="16"/>
        <v>1</v>
      </c>
    </row>
    <row r="1079" spans="1:7" ht="1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0.022084266232444531</v>
      </c>
      <c r="E1079" s="58">
        <f>+VLOOKUP(A1079,[1]Base!$A$11:$R$1579,18,FALSE)</f>
        <v>0.027605332790555662</v>
      </c>
      <c r="F1079">
        <f>+VLOOKUP(A1079,[1]Base!$A$11:$O$1264,15,FALSE)</f>
        <v>0.022084266232444531</v>
      </c>
      <c r="G1079">
        <f t="shared" si="16"/>
        <v>1</v>
      </c>
    </row>
    <row r="1080" spans="1:7" ht="1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ht="1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ht="1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ht="1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ht="1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ht="1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ht="1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ht="1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ht="1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ht="1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ht="1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ht="1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ht="1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si="17" ref="G1092:G1155">+F1092/D1092</f>
        <v>1</v>
      </c>
    </row>
    <row r="1093" spans="1:7" ht="1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ht="1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0.064780514281837301</v>
      </c>
      <c r="E1094" s="58">
        <f>+VLOOKUP(A1094,[1]Base!$A$11:$R$1579,18,FALSE)</f>
        <v>0.080975642852296623</v>
      </c>
      <c r="F1094">
        <f>+VLOOKUP(A1094,[1]Base!$A$11:$O$1264,15,FALSE)</f>
        <v>0.064780514281837301</v>
      </c>
      <c r="G1094">
        <f t="shared" si="17"/>
        <v>1</v>
      </c>
    </row>
    <row r="1095" spans="1:7" ht="1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ht="1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ht="1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ht="1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ht="1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ht="1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ht="1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ht="1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ht="1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ht="1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ht="1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ht="1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ht="1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ht="1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ht="1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ht="1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ht="1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ht="1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0.069933509736074345</v>
      </c>
      <c r="E1112" s="58">
        <f>+VLOOKUP(A1112,[1]Base!$A$11:$R$1579,18,FALSE)</f>
        <v>0.087416887170092925</v>
      </c>
      <c r="F1112">
        <f>+VLOOKUP(A1112,[1]Base!$A$11:$O$1264,15,FALSE)</f>
        <v>0.069933509736074345</v>
      </c>
      <c r="G1112">
        <f t="shared" si="17"/>
        <v>1</v>
      </c>
    </row>
    <row r="1113" spans="1:7" ht="1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0.069933509736074345</v>
      </c>
      <c r="E1113" s="58">
        <f>+VLOOKUP(A1113,[1]Base!$A$11:$R$1579,18,FALSE)</f>
        <v>0.087416887170092925</v>
      </c>
      <c r="F1113">
        <f>+VLOOKUP(A1113,[1]Base!$A$11:$O$1264,15,FALSE)</f>
        <v>0.069933509736074345</v>
      </c>
      <c r="G1113">
        <f t="shared" si="17"/>
        <v>1</v>
      </c>
    </row>
    <row r="1114" spans="1:7" ht="1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0.087416887170092925</v>
      </c>
      <c r="E1114" s="58">
        <f>+VLOOKUP(A1114,[1]Base!$A$11:$R$1579,18,FALSE)</f>
        <v>0.10927110896261615</v>
      </c>
      <c r="F1114">
        <f>+VLOOKUP(A1114,[1]Base!$A$11:$O$1264,15,FALSE)</f>
        <v>0.087416887170092925</v>
      </c>
      <c r="G1114">
        <f t="shared" si="17"/>
        <v>1</v>
      </c>
    </row>
    <row r="1115" spans="1:7" ht="1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ht="1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0.069933509736074345</v>
      </c>
      <c r="E1116" s="58">
        <f>+VLOOKUP(A1116,[1]Base!$A$11:$R$1579,18,FALSE)</f>
        <v>0.087416887170092925</v>
      </c>
      <c r="F1116">
        <f>+VLOOKUP(A1116,[1]Base!$A$11:$O$1264,15,FALSE)</f>
        <v>0.069933509736074345</v>
      </c>
      <c r="G1116">
        <f t="shared" si="17"/>
        <v>1</v>
      </c>
    </row>
    <row r="1117" spans="1:7" ht="1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ht="1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ht="1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ht="1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ht="1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0.095596245033961288</v>
      </c>
      <c r="E1121" s="58">
        <f>+VLOOKUP(A1121,[1]Base!$A$11:$R$1579,18,FALSE)</f>
        <v>0.1194953062924516</v>
      </c>
      <c r="F1121">
        <f>+VLOOKUP(A1121,[1]Base!$A$11:$O$1264,15,FALSE)</f>
        <v>0.095596245033961288</v>
      </c>
      <c r="G1121">
        <f t="shared" si="17"/>
        <v>1</v>
      </c>
    </row>
    <row r="1122" spans="1:7" ht="1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ht="1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ht="1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ht="1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ht="1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ht="1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0.095596245033961288</v>
      </c>
      <c r="E1127" s="58">
        <f>+VLOOKUP(A1127,[1]Base!$A$11:$R$1579,18,FALSE)</f>
        <v>0.1194953062924516</v>
      </c>
      <c r="F1127">
        <f>+VLOOKUP(A1127,[1]Base!$A$11:$O$1264,15,FALSE)</f>
        <v>0.095596245033961288</v>
      </c>
      <c r="G1127">
        <f t="shared" si="17"/>
        <v>1</v>
      </c>
    </row>
    <row r="1128" spans="1:7" ht="1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0.095596245033961288</v>
      </c>
      <c r="E1128" s="58">
        <f>+VLOOKUP(A1128,[1]Base!$A$11:$R$1579,18,FALSE)</f>
        <v>0.1194953062924516</v>
      </c>
      <c r="F1128">
        <f>+VLOOKUP(A1128,[1]Base!$A$11:$O$1264,15,FALSE)</f>
        <v>0.095596245033961288</v>
      </c>
      <c r="G1128">
        <f t="shared" si="17"/>
        <v>1</v>
      </c>
    </row>
    <row r="1129" spans="1:7" ht="1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ht="1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ht="1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ht="1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ht="1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ht="1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ht="1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ht="1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ht="1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ht="1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ht="1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ht="1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ht="1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0.030365866069611235</v>
      </c>
      <c r="E1141" s="58">
        <f>+VLOOKUP(A1141,[1]Base!$A$11:$R$1579,18,FALSE)</f>
        <v>0.037957332587014045</v>
      </c>
      <c r="F1141">
        <f>+VLOOKUP(A1141,[1]Base!$A$11:$O$1264,15,FALSE)</f>
        <v>0.030365866069611235</v>
      </c>
      <c r="G1141">
        <f t="shared" si="17"/>
        <v>1</v>
      </c>
    </row>
    <row r="1142" spans="1:7" ht="1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ht="1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ht="1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ht="1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ht="1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ht="1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ht="1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ht="1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ht="1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ht="1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ht="1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ht="1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ht="1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0.069524541842880941</v>
      </c>
      <c r="E1154" s="58">
        <f>+VLOOKUP(A1154,[1]Base!$A$11:$R$1579,18,FALSE)</f>
        <v>0.086905677303601173</v>
      </c>
      <c r="F1154">
        <f>+VLOOKUP(A1154,[1]Base!$A$11:$O$1264,15,FALSE)</f>
        <v>0.069524541842880941</v>
      </c>
      <c r="G1154">
        <f t="shared" si="17"/>
        <v>1</v>
      </c>
    </row>
    <row r="1155" spans="1:7" ht="1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0.069524541842880941</v>
      </c>
      <c r="E1155" s="58">
        <f>+VLOOKUP(A1155,[1]Base!$A$11:$R$1579,18,FALSE)</f>
        <v>0.086905677303601173</v>
      </c>
      <c r="F1155">
        <f>+VLOOKUP(A1155,[1]Base!$A$11:$O$1264,15,FALSE)</f>
        <v>0.069524541842880941</v>
      </c>
      <c r="G1155">
        <f t="shared" si="17"/>
        <v>1</v>
      </c>
    </row>
    <row r="1156" spans="1:7" ht="1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si="18" ref="G1156:G1219">+F1156/D1156</f>
        <v>1</v>
      </c>
    </row>
    <row r="1157" spans="1:7" ht="1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0.069524541842880941</v>
      </c>
      <c r="E1157" s="58">
        <f>+VLOOKUP(A1157,[1]Base!$A$11:$R$1579,18,FALSE)</f>
        <v>0.086905677303601173</v>
      </c>
      <c r="F1157">
        <f>+VLOOKUP(A1157,[1]Base!$A$11:$O$1264,15,FALSE)</f>
        <v>0.069524541842880941</v>
      </c>
      <c r="G1157">
        <f t="shared" si="18"/>
        <v>1</v>
      </c>
    </row>
    <row r="1158" spans="1:7" ht="1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ht="1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ht="1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0.018557827353851759</v>
      </c>
      <c r="E1160" s="58">
        <f>+VLOOKUP(A1160,[1]Base!$A$11:$R$1579,18,FALSE)</f>
        <v>0.023197284192314697</v>
      </c>
      <c r="F1160">
        <f>+VLOOKUP(A1160,[1]Base!$A$11:$O$1264,15,FALSE)</f>
        <v>0.018557827353851759</v>
      </c>
      <c r="G1160">
        <f t="shared" si="18"/>
        <v>1</v>
      </c>
    </row>
    <row r="1161" spans="1:7" ht="1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0.018557827353851759</v>
      </c>
      <c r="E1161" s="58">
        <f>+VLOOKUP(A1161,[1]Base!$A$11:$R$1579,18,FALSE)</f>
        <v>0.023197284192314697</v>
      </c>
      <c r="F1161">
        <f>+VLOOKUP(A1161,[1]Base!$A$11:$O$1264,15,FALSE)</f>
        <v>0.018557827353851759</v>
      </c>
      <c r="G1161">
        <f t="shared" si="18"/>
        <v>1</v>
      </c>
    </row>
    <row r="1162" spans="1:7" ht="1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ht="1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ht="1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ht="1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ht="1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ht="1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0.011962310875907456</v>
      </c>
      <c r="E1167" s="58">
        <f>+VLOOKUP(A1167,[1]Base!$A$11:$R$1579,18,FALSE)</f>
        <v>0.01495288859488432</v>
      </c>
      <c r="F1167">
        <f>+VLOOKUP(A1167,[1]Base!$A$11:$O$1264,15,FALSE)</f>
        <v>0.011962310875907456</v>
      </c>
      <c r="G1167">
        <f t="shared" si="18"/>
        <v>1</v>
      </c>
    </row>
    <row r="1168" spans="1:7" ht="1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0.011962310875907456</v>
      </c>
      <c r="E1168" s="58">
        <f>+VLOOKUP(A1168,[1]Base!$A$11:$R$1579,18,FALSE)</f>
        <v>0.01495288859488432</v>
      </c>
      <c r="F1168">
        <f>+VLOOKUP(A1168,[1]Base!$A$11:$O$1264,15,FALSE)</f>
        <v>0.011962310875907456</v>
      </c>
      <c r="G1168">
        <f t="shared" si="18"/>
        <v>1</v>
      </c>
    </row>
    <row r="1169" spans="1:7" ht="1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0.047849243503629825</v>
      </c>
      <c r="E1169" s="58">
        <f>+VLOOKUP(A1169,[1]Base!$A$11:$R$1579,18,FALSE)</f>
        <v>0.059811554379537279</v>
      </c>
      <c r="F1169">
        <f>+VLOOKUP(A1169,[1]Base!$A$11:$O$1264,15,FALSE)</f>
        <v>0.047849243503629825</v>
      </c>
      <c r="G1169">
        <f t="shared" si="18"/>
        <v>1</v>
      </c>
    </row>
    <row r="1170" spans="1:7" ht="1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0.029445688309926044</v>
      </c>
      <c r="E1170" s="58">
        <f>+VLOOKUP(A1170,[1]Base!$A$11:$R$1579,18,FALSE)</f>
        <v>0.036807110387407554</v>
      </c>
      <c r="F1170">
        <f>+VLOOKUP(A1170,[1]Base!$A$11:$O$1264,15,FALSE)</f>
        <v>0.029445688309926044</v>
      </c>
      <c r="G1170">
        <f t="shared" si="18"/>
        <v>1</v>
      </c>
    </row>
    <row r="1171" spans="1:7" ht="1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ht="1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ht="1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ht="1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ht="1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ht="1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ht="1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ht="1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ht="1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ht="1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ht="1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ht="1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ht="1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ht="1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ht="1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ht="1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ht="1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ht="1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ht="1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ht="1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0.059811554379537279</v>
      </c>
      <c r="E1190" s="58">
        <f>+VLOOKUP(A1190,[1]Base!$A$11:$R$1579,18,FALSE)</f>
        <v>0.074764442974421599</v>
      </c>
      <c r="F1190">
        <f>+VLOOKUP(A1190,[1]Base!$A$11:$O$1264,15,FALSE)</f>
        <v>0.059811554379537279</v>
      </c>
      <c r="G1190">
        <f t="shared" si="18"/>
        <v>1</v>
      </c>
    </row>
    <row r="1191" spans="1:7" ht="1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ht="1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ht="1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ht="1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ht="1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ht="1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ht="1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ht="1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ht="1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ht="1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ht="1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0.059811554379537279</v>
      </c>
      <c r="E1201" s="58">
        <f>+VLOOKUP(A1201,[1]Base!$A$11:$R$1579,18,FALSE)</f>
        <v>0.074764442974421599</v>
      </c>
      <c r="F1201">
        <f>+VLOOKUP(A1201,[1]Base!$A$11:$O$1264,15,FALSE)</f>
        <v>0.059811554379537279</v>
      </c>
      <c r="G1201">
        <f t="shared" si="18"/>
        <v>1</v>
      </c>
    </row>
    <row r="1202" spans="1:7" ht="1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0.059811554379537279</v>
      </c>
      <c r="E1202" s="58">
        <f>+VLOOKUP(A1202,[1]Base!$A$11:$R$1579,18,FALSE)</f>
        <v>0.074764442974421599</v>
      </c>
      <c r="F1202">
        <f>+VLOOKUP(A1202,[1]Base!$A$11:$O$1264,15,FALSE)</f>
        <v>0.059811554379537279</v>
      </c>
      <c r="G1202">
        <f t="shared" si="18"/>
        <v>1</v>
      </c>
    </row>
    <row r="1203" spans="1:7" ht="1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0.059811554379537279</v>
      </c>
      <c r="E1203" s="58">
        <f>+VLOOKUP(A1203,[1]Base!$A$11:$R$1579,18,FALSE)</f>
        <v>0.074764442974421599</v>
      </c>
      <c r="F1203">
        <f>+VLOOKUP(A1203,[1]Base!$A$11:$O$1264,15,FALSE)</f>
        <v>0.059811554379537279</v>
      </c>
      <c r="G1203">
        <f t="shared" si="18"/>
        <v>1</v>
      </c>
    </row>
    <row r="1204" spans="1:7" ht="1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0.059811554379537279</v>
      </c>
      <c r="E1204" s="58">
        <f>+VLOOKUP(A1204,[1]Base!$A$11:$R$1579,18,FALSE)</f>
        <v>0.074764442974421599</v>
      </c>
      <c r="F1204">
        <f>+VLOOKUP(A1204,[1]Base!$A$11:$O$1264,15,FALSE)</f>
        <v>0.059811554379537279</v>
      </c>
      <c r="G1204">
        <f t="shared" si="18"/>
        <v>1</v>
      </c>
    </row>
    <row r="1205" spans="1:7" ht="1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0.059811554379537279</v>
      </c>
      <c r="E1205" s="58">
        <f>+VLOOKUP(A1205,[1]Base!$A$11:$R$1579,18,FALSE)</f>
        <v>0.074764442974421599</v>
      </c>
      <c r="F1205">
        <f>+VLOOKUP(A1205,[1]Base!$A$11:$O$1264,15,FALSE)</f>
        <v>0.059811554379537279</v>
      </c>
      <c r="G1205">
        <f t="shared" si="18"/>
        <v>1</v>
      </c>
    </row>
    <row r="1206" spans="1:7" ht="1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0.059811554379537279</v>
      </c>
      <c r="E1206" s="58">
        <f>+VLOOKUP(A1206,[1]Base!$A$11:$R$1579,18,FALSE)</f>
        <v>0.074764442974421599</v>
      </c>
      <c r="F1206">
        <f>+VLOOKUP(A1206,[1]Base!$A$11:$O$1264,15,FALSE)</f>
        <v>0.059811554379537279</v>
      </c>
      <c r="G1206">
        <f t="shared" si="18"/>
        <v>1</v>
      </c>
    </row>
    <row r="1207" spans="1:7" ht="1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0.059811554379537279</v>
      </c>
      <c r="E1207" s="58">
        <f>+VLOOKUP(A1207,[1]Base!$A$11:$R$1579,18,FALSE)</f>
        <v>0.074764442974421599</v>
      </c>
      <c r="F1207">
        <f>+VLOOKUP(A1207,[1]Base!$A$11:$O$1264,15,FALSE)</f>
        <v>0.059811554379537279</v>
      </c>
      <c r="G1207">
        <f t="shared" si="18"/>
        <v>1</v>
      </c>
    </row>
    <row r="1208" spans="1:7" ht="1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0.059811554379537279</v>
      </c>
      <c r="E1208" s="58">
        <f>+VLOOKUP(A1208,[1]Base!$A$11:$R$1579,18,FALSE)</f>
        <v>0.074764442974421599</v>
      </c>
      <c r="F1208">
        <f>+VLOOKUP(A1208,[1]Base!$A$11:$O$1264,15,FALSE)</f>
        <v>0.059811554379537279</v>
      </c>
      <c r="G1208">
        <f t="shared" si="18"/>
        <v>1</v>
      </c>
    </row>
    <row r="1209" spans="1:7" ht="1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0.012882488635592644</v>
      </c>
      <c r="E1209" s="58">
        <f>+VLOOKUP(A1209,[1]Base!$A$11:$R$1579,18,FALSE)</f>
        <v>0.016103110794490803</v>
      </c>
      <c r="F1209">
        <f>+VLOOKUP(A1209,[1]Base!$A$11:$O$1264,15,FALSE)</f>
        <v>0.012882488635592644</v>
      </c>
      <c r="G1209">
        <f t="shared" si="18"/>
        <v>1</v>
      </c>
    </row>
    <row r="1210" spans="1:7" ht="1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ht="1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ht="1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ht="1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ht="1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ht="1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ht="1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ht="1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ht="1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ht="1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0.051529954542370575</v>
      </c>
      <c r="E1219" s="58">
        <f>+VLOOKUP(A1219,[1]Base!$A$11:$R$1579,18,FALSE)</f>
        <v>0.064412443177963213</v>
      </c>
      <c r="F1219">
        <f>+VLOOKUP(A1219,[1]Base!$A$11:$O$1264,15,FALSE)</f>
        <v>0.051529954542370575</v>
      </c>
      <c r="G1219">
        <f t="shared" si="18"/>
        <v>1</v>
      </c>
    </row>
    <row r="1220" spans="1:7" ht="1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si="19" ref="G1220:G1283">+F1220/D1220</f>
        <v>1</v>
      </c>
    </row>
    <row r="1221" spans="1:7" ht="1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ht="1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ht="1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ht="1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ht="1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ht="1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0.094778309247574452</v>
      </c>
      <c r="E1226" s="58">
        <f>+VLOOKUP(A1226,[1]Base!$A$11:$R$1579,18,FALSE)</f>
        <v>0.11847288655946805</v>
      </c>
      <c r="F1226">
        <f>+VLOOKUP(A1226,[1]Base!$A$11:$O$1264,15,FALSE)</f>
        <v>0.094778309247574452</v>
      </c>
      <c r="G1226">
        <f t="shared" si="19"/>
        <v>1</v>
      </c>
    </row>
    <row r="1227" spans="1:7" ht="1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ht="1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ht="1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ht="1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0.094778309247574452</v>
      </c>
      <c r="E1230" s="58">
        <f>+VLOOKUP(A1230,[1]Base!$A$11:$R$1579,18,FALSE)</f>
        <v>0.11847288655946805</v>
      </c>
      <c r="F1230">
        <f>+VLOOKUP(A1230,[1]Base!$A$11:$O$1264,15,FALSE)</f>
        <v>0.094778309247574452</v>
      </c>
      <c r="G1230">
        <f t="shared" si="19"/>
        <v>1</v>
      </c>
    </row>
    <row r="1231" spans="1:7" ht="1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0.059811554379537279</v>
      </c>
      <c r="E1231" s="58">
        <f>+VLOOKUP(A1231,[1]Base!$A$11:$R$1579,18,FALSE)</f>
        <v>0.074764442974421599</v>
      </c>
      <c r="F1231">
        <f>+VLOOKUP(A1231,[1]Base!$A$11:$O$1264,15,FALSE)</f>
        <v>0.059811554379537279</v>
      </c>
      <c r="G1231">
        <f t="shared" si="19"/>
        <v>1</v>
      </c>
    </row>
    <row r="1232" spans="1:7" ht="1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ht="1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ht="1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ht="1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ht="1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ht="1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ht="1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ht="1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ht="1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ht="1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ht="1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ht="1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0.032850346020761242</v>
      </c>
      <c r="E1243" s="58">
        <f>+VLOOKUP(A1243,[1]Base!$A$11:$R$1579,18,FALSE)</f>
        <v>0.04106293252595155</v>
      </c>
      <c r="F1243">
        <f>+VLOOKUP(A1243,[1]Base!$A$11:$O$1264,15,FALSE)</f>
        <v>0.032850346020761242</v>
      </c>
      <c r="G1243">
        <f t="shared" si="19"/>
        <v>1</v>
      </c>
    </row>
    <row r="1244" spans="1:7" ht="1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ht="1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ht="1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ht="1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ht="1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ht="1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ht="1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ht="1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ht="1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0.05263416785399281</v>
      </c>
      <c r="E1252" s="58">
        <f>+VLOOKUP(A1252,[1]Base!$A$11:$R$1579,18,FALSE)</f>
        <v>0.06579270981749101</v>
      </c>
      <c r="F1252">
        <f>+VLOOKUP(A1252,[1]Base!$A$11:$O$1264,15,FALSE)</f>
        <v>0.05263416785399281</v>
      </c>
      <c r="G1252">
        <f t="shared" si="19"/>
        <v>1</v>
      </c>
    </row>
    <row r="1253" spans="1:7" ht="1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ht="1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ht="1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ht="1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0.098459020286315202</v>
      </c>
      <c r="E1256" s="58">
        <f>+VLOOKUP(A1256,[1]Base!$A$11:$R$1579,18,FALSE)</f>
        <v>0.123073775357894</v>
      </c>
      <c r="F1256">
        <f>+VLOOKUP(A1256,[1]Base!$A$11:$O$1264,15,FALSE)</f>
        <v>0.098459020286315202</v>
      </c>
      <c r="G1256">
        <f t="shared" si="19"/>
        <v>1</v>
      </c>
    </row>
    <row r="1257" spans="1:7" ht="1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0.098459020286315202</v>
      </c>
      <c r="E1257" s="58">
        <f>+VLOOKUP(A1257,[1]Base!$A$11:$R$1579,18,FALSE)</f>
        <v>0.123073775357894</v>
      </c>
      <c r="F1257">
        <f>+VLOOKUP(A1257,[1]Base!$A$11:$O$1264,15,FALSE)</f>
        <v>0.098459020286315202</v>
      </c>
      <c r="G1257">
        <f t="shared" si="19"/>
        <v>1</v>
      </c>
    </row>
    <row r="1258" spans="1:7" ht="1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ht="1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0.098459020286315202</v>
      </c>
      <c r="E1259" s="58">
        <f>+VLOOKUP(A1259,[1]Base!$A$11:$R$1579,18,FALSE)</f>
        <v>0.123073775357894</v>
      </c>
      <c r="F1259">
        <f>+VLOOKUP(A1259,[1]Base!$A$11:$O$1264,15,FALSE)</f>
        <v>0.098459020286315202</v>
      </c>
      <c r="G1259">
        <f t="shared" si="19"/>
        <v>1</v>
      </c>
    </row>
    <row r="1260" spans="1:7" ht="1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0.068829296424452138</v>
      </c>
      <c r="E1260" s="58">
        <f>+VLOOKUP(A1260,[1]Base!$A$11:$R$1579,18,FALSE)</f>
        <v>0.086036620530565169</v>
      </c>
      <c r="F1260">
        <f>+VLOOKUP(A1260,[1]Base!$A$11:$O$1264,15,FALSE)</f>
        <v>0.068829296424452138</v>
      </c>
      <c r="G1260">
        <f t="shared" si="19"/>
        <v>1</v>
      </c>
    </row>
    <row r="1261" spans="1:7" ht="1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ht="1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ht="1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ht="1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0.073614220774815109</v>
      </c>
      <c r="E1264" s="58">
        <f>+VLOOKUP(A1264,[1]Base!$A$11:$R$1579,18,FALSE)</f>
        <v>0.092017775968518886</v>
      </c>
      <c r="F1264">
        <f>+VLOOKUP(A1264,[1]Base!$A$11:$O$1264,15,FALSE)</f>
        <v>0.073614220774815109</v>
      </c>
      <c r="G1264">
        <f t="shared" si="19"/>
        <v>1</v>
      </c>
    </row>
    <row r="1265" spans="1:7" ht="1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ht="1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ht="1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0.073614220774815109</v>
      </c>
      <c r="E1267" s="58">
        <f>+VLOOKUP(A1267,[1]Base!$A$11:$R$1579,18,FALSE)</f>
        <v>0.092017775968518886</v>
      </c>
      <c r="F1267">
        <f>+VLOOKUP(A1267,[1]Base!$A$11:$O$1264,15,FALSE)</f>
        <v>0.073614220774815109</v>
      </c>
      <c r="G1267">
        <f t="shared" si="19"/>
        <v>1</v>
      </c>
    </row>
    <row r="1268" spans="1:7" ht="1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0.036807110387407554</v>
      </c>
      <c r="E1268" s="58">
        <f>+VLOOKUP(A1268,[1]Base!$A$11:$R$1579,18,FALSE)</f>
        <v>0.046008887984259443</v>
      </c>
      <c r="F1268">
        <f>+VLOOKUP(A1268,[1]Base!$A$11:$O$1264,15,FALSE)</f>
        <v>0.036807110387407554</v>
      </c>
      <c r="G1268">
        <f t="shared" si="19"/>
        <v>1</v>
      </c>
    </row>
    <row r="1269" spans="1:7" ht="1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ht="1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ht="1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ht="1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0.073614220774815109</v>
      </c>
      <c r="E1272" s="58">
        <f>+VLOOKUP(A1272,[1]Base!$A$11:$R$1579,18,FALSE)</f>
        <v>0.092017775968518886</v>
      </c>
      <c r="F1272">
        <f>+VLOOKUP(A1272,[1]Base!$A$11:$O$1264,15,FALSE)</f>
        <v>0.073614220774815109</v>
      </c>
      <c r="G1272">
        <f t="shared" si="19"/>
        <v>1</v>
      </c>
    </row>
    <row r="1273" spans="1:7" ht="1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0.073614220774815109</v>
      </c>
      <c r="E1273" s="58">
        <f>+VLOOKUP(A1273,[1]Base!$A$11:$R$1579,18,FALSE)</f>
        <v>0.092017775968518886</v>
      </c>
      <c r="F1273">
        <f>+VLOOKUP(A1273,[1]Base!$A$11:$O$1264,15,FALSE)</f>
        <v>0.073614220774815109</v>
      </c>
      <c r="G1273">
        <f t="shared" si="19"/>
        <v>1</v>
      </c>
    </row>
    <row r="1274" spans="1:7" ht="1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ht="1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ht="1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ht="1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0.098896831178291733</v>
      </c>
      <c r="E1277" s="58">
        <f>+VLOOKUP(A1277,[1]Base!$A$11:$R$1579,18,FALSE)</f>
        <v>0.12362103897286467</v>
      </c>
      <c r="F1277">
        <f>+VLOOKUP(A1277,[1]Base!$A$11:$O$1264,15,FALSE)</f>
        <v>0.098896831178291733</v>
      </c>
      <c r="G1277">
        <f t="shared" si="19"/>
        <v>1</v>
      </c>
    </row>
    <row r="1278" spans="1:7" ht="1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ht="1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ht="1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ht="1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ht="1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0.063214274874036289</v>
      </c>
      <c r="E1282" s="58">
        <f>+VLOOKUP(A1282,[1]Base!$A$11:$R$1579,18,FALSE)</f>
        <v>0.07901784359254535</v>
      </c>
      <c r="F1282">
        <f>+VLOOKUP(A1282,[1]Base!$A$11:$O$1264,15,FALSE)</f>
        <v>0.063214274874036289</v>
      </c>
      <c r="G1282">
        <f t="shared" si="19"/>
        <v>1</v>
      </c>
    </row>
    <row r="1283" spans="1:7" ht="1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ht="1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0.031286043829296423</v>
      </c>
      <c r="E1284" s="58">
        <f>+VLOOKUP(A1284,[1]Base!$A$11:$R$1579,18,FALSE)</f>
        <v>0.039107554786620528</v>
      </c>
      <c r="F1284">
        <f>+VLOOKUP(A1284,[1]Base!$A$11:$O$1264,15,FALSE)</f>
        <v>0.031286043829296423</v>
      </c>
      <c r="G1284">
        <f t="shared" si="20" ref="G1284:G1293">+F1284/D1284</f>
        <v>1</v>
      </c>
    </row>
    <row r="1285" spans="1:7" ht="1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0.031286043829296423</v>
      </c>
      <c r="E1285" s="58">
        <f>+VLOOKUP(A1285,[1]Base!$A$11:$R$1579,18,FALSE)</f>
        <v>0.039107554786620528</v>
      </c>
      <c r="F1285">
        <f>+VLOOKUP(A1285,[1]Base!$A$11:$O$1264,15,FALSE)</f>
        <v>0.031286043829296423</v>
      </c>
      <c r="G1285">
        <f t="shared" si="20"/>
        <v>1</v>
      </c>
    </row>
    <row r="1286" spans="1:7" ht="1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ht="1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ht="1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ht="1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ht="1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ht="1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ht="1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ht="1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5" ht="1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5" ht="1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5" ht="1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ht="1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ht="1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ht="1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ht="1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ht="1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ht="1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ht="1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ht="1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ht="1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ht="1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ht="1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ht="1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ht="1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ht="1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ht="1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ht="15">
      <c r="A1312" s="168"/>
      <c r="B1312" s="168"/>
      <c r="C1312" s="168"/>
      <c r="D1312" s="168"/>
      <c r="E1312" s="168"/>
    </row>
    <row r="1313" spans="1:5" ht="1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ht="15">
      <c r="A1314" s="183"/>
      <c r="B1314" s="294"/>
      <c r="C1314" s="301"/>
      <c r="D1314" s="295"/>
      <c r="E1314" s="295"/>
    </row>
    <row r="1315" spans="1:5" ht="15">
      <c r="A1315" s="183"/>
      <c r="B1315" s="294"/>
      <c r="C1315" s="301"/>
      <c r="D1315" s="295"/>
      <c r="E1315" s="295"/>
    </row>
    <row r="1316" spans="1:5" ht="15">
      <c r="A1316" s="183"/>
      <c r="B1316" s="294"/>
      <c r="C1316" s="301"/>
      <c r="D1316" s="295"/>
      <c r="E1316" s="295"/>
    </row>
    <row r="1317" spans="1:5" ht="15">
      <c r="A1317" s="183"/>
      <c r="B1317" s="294"/>
      <c r="C1317" s="301"/>
      <c r="D1317" s="295"/>
      <c r="E1317" s="295"/>
    </row>
    <row r="1318" spans="1:5" ht="13.5" customHeight="1">
      <c r="A1318" s="183"/>
      <c r="B1318" s="294"/>
      <c r="C1318" s="301"/>
      <c r="D1318" s="295"/>
      <c r="E1318" s="295"/>
    </row>
    <row r="1319" spans="1:5" ht="15">
      <c r="A1319" s="183"/>
      <c r="B1319" s="294"/>
      <c r="C1319" s="301"/>
      <c r="D1319" s="295"/>
      <c r="E1319" s="295"/>
    </row>
    <row r="1320" spans="1:5" ht="15">
      <c r="A1320" s="183"/>
      <c r="B1320" s="294"/>
      <c r="C1320" s="301"/>
      <c r="D1320" s="295"/>
      <c r="E1320" s="295"/>
    </row>
    <row r="1321" spans="1:5" ht="15">
      <c r="A1321" s="183"/>
      <c r="B1321" s="294"/>
      <c r="C1321" s="301"/>
      <c r="D1321" s="295"/>
      <c r="E1321" s="295"/>
    </row>
    <row r="1322" spans="1:5" ht="15">
      <c r="A1322" s="183"/>
      <c r="B1322" s="294"/>
      <c r="C1322" s="301"/>
      <c r="D1322" s="295"/>
      <c r="E1322" s="295"/>
    </row>
    <row r="1323" spans="1:5" ht="15">
      <c r="A1323" s="183"/>
      <c r="B1323" s="294"/>
      <c r="C1323" s="301"/>
      <c r="D1323" s="295"/>
      <c r="E1323" s="295"/>
    </row>
    <row r="1324" spans="1:5" ht="15">
      <c r="A1324" s="183"/>
      <c r="B1324" s="294"/>
      <c r="C1324" s="301"/>
      <c r="D1324" s="295"/>
      <c r="E1324" s="295"/>
    </row>
    <row r="1325" spans="1:5" ht="15">
      <c r="A1325" s="183"/>
      <c r="B1325" s="294"/>
      <c r="C1325" s="301"/>
      <c r="D1325" s="295"/>
      <c r="E1325" s="295"/>
    </row>
    <row r="1326" spans="1:5" ht="15">
      <c r="A1326" s="183"/>
      <c r="B1326" s="294"/>
      <c r="C1326" s="301"/>
      <c r="D1326" s="295"/>
      <c r="E1326" s="295"/>
    </row>
    <row r="1327" spans="1:5" ht="15">
      <c r="A1327" s="183"/>
      <c r="B1327" s="294"/>
      <c r="C1327" s="301"/>
      <c r="D1327" s="295"/>
      <c r="E1327" s="295"/>
    </row>
    <row r="1328" spans="1:5" ht="15">
      <c r="A1328" s="183"/>
      <c r="B1328" s="294"/>
      <c r="C1328" s="301"/>
      <c r="D1328" s="295"/>
      <c r="E1328" s="295"/>
    </row>
    <row r="1329" spans="1:5" ht="15">
      <c r="A1329" s="183"/>
      <c r="B1329" s="294"/>
      <c r="C1329" s="301"/>
      <c r="D1329" s="295"/>
      <c r="E1329" s="295"/>
    </row>
    <row r="1330" spans="1:5" ht="15">
      <c r="A1330" s="183"/>
      <c r="B1330" s="294"/>
      <c r="C1330" s="301"/>
      <c r="D1330" s="295"/>
      <c r="E1330" s="295"/>
    </row>
    <row r="1331" spans="1:5" ht="15">
      <c r="A1331" s="183"/>
      <c r="B1331" s="294"/>
      <c r="C1331" s="301"/>
      <c r="D1331" s="295"/>
      <c r="E1331" s="295"/>
    </row>
    <row r="1332" spans="1:5" ht="15">
      <c r="A1332" s="183"/>
      <c r="B1332" s="294"/>
      <c r="C1332" s="301"/>
      <c r="D1332" s="295"/>
      <c r="E1332" s="295"/>
    </row>
    <row r="1333" spans="1:5" ht="15">
      <c r="A1333" s="183"/>
      <c r="B1333" s="294"/>
      <c r="C1333" s="301"/>
      <c r="D1333" s="295"/>
      <c r="E1333" s="295"/>
    </row>
    <row r="1334" spans="1:5" ht="15">
      <c r="A1334" s="183"/>
      <c r="B1334" s="294"/>
      <c r="C1334" s="301"/>
      <c r="D1334" s="295"/>
      <c r="E1334" s="295"/>
    </row>
    <row r="1335" spans="1:5" ht="15">
      <c r="A1335" s="183"/>
      <c r="B1335" s="294"/>
      <c r="C1335" s="301"/>
      <c r="D1335" s="295"/>
      <c r="E1335" s="295"/>
    </row>
    <row r="1336" spans="1:5" ht="15">
      <c r="A1336" s="183"/>
      <c r="B1336" s="294"/>
      <c r="C1336" s="301"/>
      <c r="D1336" s="295"/>
      <c r="E1336" s="295"/>
    </row>
    <row r="1337" spans="1:5" ht="15">
      <c r="A1337" s="183"/>
      <c r="B1337" s="294"/>
      <c r="C1337" s="301"/>
      <c r="D1337" s="295"/>
      <c r="E1337" s="295"/>
    </row>
    <row r="1338" spans="1:5" ht="15">
      <c r="A1338" s="183"/>
      <c r="B1338" s="294"/>
      <c r="C1338" s="301"/>
      <c r="D1338" s="295"/>
      <c r="E1338" s="295"/>
    </row>
    <row r="1339" spans="1:5" ht="15">
      <c r="A1339" s="183"/>
      <c r="B1339" s="294"/>
      <c r="C1339" s="301"/>
      <c r="D1339" s="295"/>
      <c r="E1339" s="295"/>
    </row>
    <row r="1340" spans="1:5" ht="15">
      <c r="A1340" s="183"/>
      <c r="B1340" s="294"/>
      <c r="C1340" s="301"/>
      <c r="D1340" s="295"/>
      <c r="E1340" s="295"/>
    </row>
    <row r="1341" spans="1:5" ht="15">
      <c r="A1341" s="183"/>
      <c r="B1341" s="294"/>
      <c r="C1341" s="301"/>
      <c r="D1341" s="295"/>
      <c r="E1341" s="295"/>
    </row>
    <row r="1342" spans="1:5" ht="15">
      <c r="A1342" s="183"/>
      <c r="B1342" s="294"/>
      <c r="C1342" s="301"/>
      <c r="D1342" s="295"/>
      <c r="E1342" s="295"/>
    </row>
    <row r="1343" spans="1:5" ht="15">
      <c r="A1343" s="183"/>
      <c r="B1343" s="294"/>
      <c r="C1343" s="301"/>
      <c r="D1343" s="295"/>
      <c r="E1343" s="295"/>
    </row>
    <row r="1344" spans="1:5" ht="15">
      <c r="A1344" s="183"/>
      <c r="B1344" s="294"/>
      <c r="C1344" s="301"/>
      <c r="D1344" s="295"/>
      <c r="E1344" s="295"/>
    </row>
    <row r="1345" spans="1:5" ht="15">
      <c r="A1345" s="183"/>
      <c r="B1345" s="294"/>
      <c r="C1345" s="301"/>
      <c r="D1345" s="295"/>
      <c r="E1345" s="295"/>
    </row>
    <row r="1346" spans="1:5" ht="15">
      <c r="A1346" s="183"/>
      <c r="B1346" s="294"/>
      <c r="C1346" s="301"/>
      <c r="D1346" s="295"/>
      <c r="E1346" s="295"/>
    </row>
    <row r="1347" spans="1:5" ht="15">
      <c r="A1347" s="183"/>
      <c r="B1347" s="294"/>
      <c r="C1347" s="301"/>
      <c r="D1347" s="295"/>
      <c r="E1347" s="295"/>
    </row>
    <row r="1348" spans="1:5" ht="15">
      <c r="A1348" s="183"/>
      <c r="B1348" s="294"/>
      <c r="C1348" s="301"/>
      <c r="D1348" s="295"/>
      <c r="E1348" s="295"/>
    </row>
    <row r="1349" spans="1:5" ht="15">
      <c r="A1349" s="183"/>
      <c r="B1349" s="294"/>
      <c r="C1349" s="301"/>
      <c r="D1349" s="295"/>
      <c r="E1349" s="295"/>
    </row>
    <row r="1350" spans="1:5" ht="15">
      <c r="A1350" s="183"/>
      <c r="B1350" s="294"/>
      <c r="C1350" s="301"/>
      <c r="D1350" s="295"/>
      <c r="E1350" s="295"/>
    </row>
    <row r="1351" spans="1:5" ht="15">
      <c r="A1351" s="183"/>
      <c r="B1351" s="294"/>
      <c r="C1351" s="301"/>
      <c r="D1351" s="295"/>
      <c r="E1351" s="295"/>
    </row>
    <row r="1352" spans="1:5" ht="15">
      <c r="A1352" s="183"/>
      <c r="B1352" s="294"/>
      <c r="C1352" s="301"/>
      <c r="D1352" s="295"/>
      <c r="E1352" s="295"/>
    </row>
    <row r="1353" spans="1:5" ht="15">
      <c r="A1353" s="183"/>
      <c r="B1353" s="294"/>
      <c r="C1353" s="301"/>
      <c r="D1353" s="295"/>
      <c r="E1353" s="295"/>
    </row>
    <row r="1354" spans="1:5" ht="15">
      <c r="A1354" s="183"/>
      <c r="B1354" s="294"/>
      <c r="C1354" s="301"/>
      <c r="D1354" s="295"/>
      <c r="E1354" s="295"/>
    </row>
    <row r="1355" spans="1:5" ht="15">
      <c r="A1355" s="183"/>
      <c r="B1355" s="294"/>
      <c r="C1355" s="301"/>
      <c r="D1355" s="295"/>
      <c r="E1355" s="295"/>
    </row>
    <row r="1356" spans="1:5" ht="15">
      <c r="A1356" s="183"/>
      <c r="B1356" s="294"/>
      <c r="C1356" s="301"/>
      <c r="D1356" s="295"/>
      <c r="E1356" s="295"/>
    </row>
    <row r="1357" spans="1:5" ht="15">
      <c r="A1357" s="183"/>
      <c r="B1357" s="294"/>
      <c r="C1357" s="301"/>
      <c r="D1357" s="295"/>
      <c r="E1357" s="295"/>
    </row>
    <row r="1358" spans="1:5" ht="15">
      <c r="A1358" s="183"/>
      <c r="B1358" s="294"/>
      <c r="C1358" s="301"/>
      <c r="D1358" s="295"/>
      <c r="E1358" s="295"/>
    </row>
    <row r="1359" spans="1:5" ht="15">
      <c r="A1359" s="183"/>
      <c r="B1359" s="294"/>
      <c r="C1359" s="301"/>
      <c r="D1359" s="295"/>
      <c r="E1359" s="295"/>
    </row>
    <row r="1360" spans="1:5" ht="15">
      <c r="A1360" s="183"/>
      <c r="B1360" s="294"/>
      <c r="C1360" s="301"/>
      <c r="D1360" s="295"/>
      <c r="E1360" s="295"/>
    </row>
    <row r="1361" spans="1:5" ht="15">
      <c r="A1361" s="183"/>
      <c r="B1361" s="294"/>
      <c r="C1361" s="301"/>
      <c r="D1361" s="295"/>
      <c r="E1361" s="295"/>
    </row>
    <row r="1362" spans="1:5" ht="15">
      <c r="A1362" s="183"/>
      <c r="B1362" s="294"/>
      <c r="C1362" s="301"/>
      <c r="D1362" s="295"/>
      <c r="E1362" s="295"/>
    </row>
    <row r="1363" spans="1:5" ht="15">
      <c r="A1363" s="183"/>
      <c r="B1363" s="294"/>
      <c r="C1363" s="301"/>
      <c r="D1363" s="295"/>
      <c r="E1363" s="295"/>
    </row>
    <row r="1364" spans="1:5" ht="15">
      <c r="A1364" s="183"/>
      <c r="B1364" s="294"/>
      <c r="C1364" s="301"/>
      <c r="D1364" s="295"/>
      <c r="E1364" s="295"/>
    </row>
    <row r="1365" spans="1:5" ht="15">
      <c r="A1365" s="183"/>
      <c r="B1365" s="294"/>
      <c r="C1365" s="301"/>
      <c r="D1365" s="295"/>
      <c r="E1365" s="295"/>
    </row>
    <row r="1366" spans="1:5" ht="15">
      <c r="A1366" s="183"/>
      <c r="B1366" s="294"/>
      <c r="C1366" s="301"/>
      <c r="D1366" s="295"/>
      <c r="E1366" s="295"/>
    </row>
    <row r="1367" spans="1:5" ht="15">
      <c r="A1367" s="183"/>
      <c r="B1367" s="294"/>
      <c r="C1367" s="301"/>
      <c r="D1367" s="295"/>
      <c r="E1367" s="295"/>
    </row>
    <row r="1368" spans="1:5" ht="15">
      <c r="A1368" s="183"/>
      <c r="B1368" s="294"/>
      <c r="C1368" s="301"/>
      <c r="D1368" s="295"/>
      <c r="E1368" s="295"/>
    </row>
    <row r="1369" spans="1:5" ht="15">
      <c r="A1369" s="183"/>
      <c r="B1369" s="294"/>
      <c r="C1369" s="301"/>
      <c r="D1369" s="295"/>
      <c r="E1369" s="295"/>
    </row>
    <row r="1370" spans="1:5" ht="1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priority="13" dxfId="34"/>
  </conditionalFormatting>
  <conditionalFormatting sqref="A661:A662">
    <cfRule type="duplicateValues" priority="12" dxfId="34"/>
  </conditionalFormatting>
  <conditionalFormatting sqref="A4:A431 A433:A858 A860:A1194 B1201:C1201">
    <cfRule type="duplicateValues" priority="21" dxfId="34"/>
  </conditionalFormatting>
  <conditionalFormatting sqref="A1195:A1200">
    <cfRule type="duplicateValues" priority="10" dxfId="34"/>
  </conditionalFormatting>
  <conditionalFormatting sqref="A1201:A1209">
    <cfRule type="duplicateValues" priority="22" dxfId="34"/>
  </conditionalFormatting>
  <conditionalFormatting sqref="A1217:A1221">
    <cfRule type="duplicateValues" priority="24" dxfId="34"/>
  </conditionalFormatting>
  <conditionalFormatting sqref="A1216">
    <cfRule type="duplicateValues" priority="25" dxfId="34"/>
  </conditionalFormatting>
  <conditionalFormatting sqref="A1222">
    <cfRule type="duplicateValues" priority="30" dxfId="34"/>
  </conditionalFormatting>
  <conditionalFormatting sqref="A1223:A1225">
    <cfRule type="duplicateValues" priority="31" dxfId="34"/>
  </conditionalFormatting>
  <conditionalFormatting sqref="A1259:A1284">
    <cfRule type="duplicateValues" priority="53" dxfId="34"/>
  </conditionalFormatting>
  <conditionalFormatting sqref="A859">
    <cfRule type="duplicateValues" priority="2" dxfId="34"/>
  </conditionalFormatting>
  <conditionalFormatting sqref="A1294:A1309">
    <cfRule type="duplicateValues" priority="1" dxfId="34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4:C364"/>
  <sheetViews>
    <sheetView workbookViewId="0" topLeftCell="A53">
      <selection pane="topLeft" activeCell="A17" sqref="A17"/>
    </sheetView>
  </sheetViews>
  <sheetFormatPr defaultColWidth="8.714285714285714" defaultRowHeight="15"/>
  <cols>
    <col min="1" max="1" width="115.14285714285714" style="83" bestFit="1" customWidth="1"/>
  </cols>
  <sheetData>
    <row r="4" spans="1:1" ht="21">
      <c r="A4" s="156" t="s">
        <v>1879</v>
      </c>
    </row>
    <row r="8" spans="1:1" ht="15">
      <c r="A8" s="83" t="s">
        <v>57</v>
      </c>
    </row>
    <row r="15" spans="1:1" ht="15">
      <c r="A15"/>
    </row>
    <row r="16" spans="1:1" ht="19.5" thickBot="1">
      <c r="A16" s="153" t="s">
        <v>12</v>
      </c>
    </row>
    <row r="17" spans="1:3" ht="23.45" customHeight="1">
      <c r="A17" s="84"/>
      <c r="C17" s="428"/>
    </row>
    <row r="18" spans="1:1" ht="15">
      <c r="A18" s="85"/>
    </row>
    <row r="19" spans="1:1" ht="15">
      <c r="A19" s="85"/>
    </row>
    <row r="20" spans="1:1" ht="21">
      <c r="A20" s="154" t="s">
        <v>1825</v>
      </c>
    </row>
    <row r="21" spans="1:1" ht="15">
      <c r="A21" s="85"/>
    </row>
    <row r="22" spans="1:1" ht="15">
      <c r="A22" s="85"/>
    </row>
    <row r="23" spans="1:1" ht="15">
      <c r="A23" s="85"/>
    </row>
    <row r="24" spans="1:1" ht="15">
      <c r="A24" s="85"/>
    </row>
    <row r="25" spans="1:1" ht="15">
      <c r="A25" s="85"/>
    </row>
    <row r="26" spans="1:1" ht="15">
      <c r="A26" s="85"/>
    </row>
    <row r="27" spans="1:1" ht="15">
      <c r="A27" s="85"/>
    </row>
    <row r="28" spans="1:1" ht="15">
      <c r="A28" s="85"/>
    </row>
    <row r="29" spans="1:1" ht="15">
      <c r="A29" s="85"/>
    </row>
    <row r="30" spans="1:1" ht="15">
      <c r="A30" s="85"/>
    </row>
    <row r="31" spans="1:1" ht="15">
      <c r="A31" s="85"/>
    </row>
    <row r="32" spans="1:1" ht="15">
      <c r="A32" s="85"/>
    </row>
    <row r="33" spans="1:1" ht="15">
      <c r="A33" s="85"/>
    </row>
    <row r="34" spans="1:1" ht="15">
      <c r="A34" s="85"/>
    </row>
    <row r="35" spans="1:1" ht="15">
      <c r="A35" s="85"/>
    </row>
    <row r="36" spans="1:1" ht="15">
      <c r="A36" s="85"/>
    </row>
    <row r="37" spans="1:1" ht="15">
      <c r="A37" s="85"/>
    </row>
    <row r="38" spans="1:1" ht="15">
      <c r="A38" s="85"/>
    </row>
    <row r="39" spans="1:1" ht="15">
      <c r="A39" s="85"/>
    </row>
    <row r="40" spans="1:1" ht="15">
      <c r="A40" s="85"/>
    </row>
    <row r="41" spans="1:1" ht="15">
      <c r="A41" s="85"/>
    </row>
    <row r="42" spans="1:1" ht="15">
      <c r="A42" s="85"/>
    </row>
    <row r="43" spans="1:1" ht="15">
      <c r="A43" s="85"/>
    </row>
    <row r="44" spans="1:1" ht="15">
      <c r="A44" s="85"/>
    </row>
    <row r="45" spans="1:1" ht="15">
      <c r="A45" s="85"/>
    </row>
    <row r="46" spans="1:1" ht="15">
      <c r="A46" s="85"/>
    </row>
    <row r="47" spans="1:1" ht="15">
      <c r="A47" s="85"/>
    </row>
    <row r="48" spans="1:1" ht="15">
      <c r="A48" s="85"/>
    </row>
    <row r="49" spans="1:1" ht="15">
      <c r="A49" s="85"/>
    </row>
    <row r="50" spans="1:1" ht="15">
      <c r="A50" s="85"/>
    </row>
    <row r="51" spans="1:1" ht="15">
      <c r="A51" s="85"/>
    </row>
    <row r="52" spans="1:1" ht="15">
      <c r="A52" s="85"/>
    </row>
    <row r="53" spans="1:1" ht="15">
      <c r="A53" s="85"/>
    </row>
    <row r="54" spans="1:1" ht="15">
      <c r="A54" s="85"/>
    </row>
    <row r="55" spans="1:1" ht="15">
      <c r="A55" s="85"/>
    </row>
    <row r="56" spans="1:1" ht="15">
      <c r="A56" s="85"/>
    </row>
    <row r="57" spans="1:1" ht="15">
      <c r="A57" s="85"/>
    </row>
    <row r="58" spans="1:1" ht="15">
      <c r="A58" s="85"/>
    </row>
    <row r="59" spans="1:1" ht="15">
      <c r="A59" s="85"/>
    </row>
    <row r="60" spans="1:1" ht="15">
      <c r="A60" s="85"/>
    </row>
    <row r="61" spans="1:1" ht="15">
      <c r="A61" s="85"/>
    </row>
    <row r="62" spans="1:1" ht="15">
      <c r="A62" s="85"/>
    </row>
    <row r="63" spans="1:1" ht="15">
      <c r="A63" s="85"/>
    </row>
    <row r="64" spans="1:1" ht="15">
      <c r="A64" s="85"/>
    </row>
    <row r="65" spans="1:1" ht="15">
      <c r="A65" s="85"/>
    </row>
    <row r="66" spans="1:1" ht="15">
      <c r="A66" s="85"/>
    </row>
    <row r="67" spans="1:1" ht="15">
      <c r="A67" s="85"/>
    </row>
    <row r="68" spans="1:1" ht="15">
      <c r="A68" s="85"/>
    </row>
    <row r="69" spans="1:1" ht="15">
      <c r="A69" s="85"/>
    </row>
    <row r="70" spans="1:1" ht="15">
      <c r="A70" s="85"/>
    </row>
    <row r="71" spans="1:1" ht="15">
      <c r="A71" s="85"/>
    </row>
    <row r="72" spans="1:1" ht="15">
      <c r="A72" s="85"/>
    </row>
    <row r="73" spans="1:1" ht="15">
      <c r="A73" s="85"/>
    </row>
    <row r="74" spans="1:1" ht="15">
      <c r="A74" s="85"/>
    </row>
    <row r="75" spans="1:1" ht="15">
      <c r="A75" s="85"/>
    </row>
    <row r="76" spans="1:1" ht="15">
      <c r="A76" s="85"/>
    </row>
    <row r="77" spans="1:1" ht="15">
      <c r="A77" s="85"/>
    </row>
    <row r="78" spans="1:1" ht="15">
      <c r="A78" s="85"/>
    </row>
    <row r="79" spans="1:1" ht="15">
      <c r="A79" s="85"/>
    </row>
    <row r="80" spans="1:1" ht="15">
      <c r="A80" s="85"/>
    </row>
    <row r="81" spans="1:1" ht="15">
      <c r="A81" s="85"/>
    </row>
    <row r="82" spans="1:1" ht="15">
      <c r="A82" s="85"/>
    </row>
    <row r="83" spans="1:1" ht="15">
      <c r="A83" s="85"/>
    </row>
    <row r="84" spans="1:1" ht="15">
      <c r="A84" s="85"/>
    </row>
    <row r="85" spans="1:1" ht="15">
      <c r="A85" s="85"/>
    </row>
    <row r="86" spans="1:1" ht="15">
      <c r="A86" s="85"/>
    </row>
    <row r="87" spans="1:1" ht="15">
      <c r="A87" s="85"/>
    </row>
    <row r="88" spans="1:1" ht="15">
      <c r="A88" s="85"/>
    </row>
    <row r="89" spans="1:1" ht="15">
      <c r="A89" s="85"/>
    </row>
    <row r="90" spans="1:1" ht="15">
      <c r="A90" s="85"/>
    </row>
    <row r="91" spans="1:1" ht="15">
      <c r="A91" s="85"/>
    </row>
    <row r="92" spans="1:1" ht="15">
      <c r="A92" s="85"/>
    </row>
    <row r="93" spans="1:1" ht="15">
      <c r="A93" s="85"/>
    </row>
    <row r="94" spans="1:1" ht="15">
      <c r="A94" s="85"/>
    </row>
    <row r="95" spans="1:1" ht="15">
      <c r="A95" s="85"/>
    </row>
    <row r="96" spans="1:1" ht="15">
      <c r="A96" s="85"/>
    </row>
    <row r="97" spans="1:1" ht="15">
      <c r="A97" s="85"/>
    </row>
    <row r="98" spans="1:1" ht="15">
      <c r="A98" s="85"/>
    </row>
    <row r="99" spans="1:1" ht="15">
      <c r="A99" s="85"/>
    </row>
    <row r="100" spans="1:1" ht="15">
      <c r="A100" s="85"/>
    </row>
    <row r="101" spans="1:1" ht="15">
      <c r="A101" s="85"/>
    </row>
    <row r="102" spans="1:1" ht="15">
      <c r="A102" s="85"/>
    </row>
    <row r="103" spans="1:1" ht="15">
      <c r="A103" s="85"/>
    </row>
    <row r="104" spans="1:1" ht="15">
      <c r="A104" s="85"/>
    </row>
    <row r="105" spans="1:1" ht="15">
      <c r="A105" s="85"/>
    </row>
    <row r="106" spans="1:1" ht="15">
      <c r="A106" s="85"/>
    </row>
    <row r="107" spans="1:1" ht="15">
      <c r="A107" s="85"/>
    </row>
    <row r="108" spans="1:1" ht="15">
      <c r="A108" s="85"/>
    </row>
    <row r="109" spans="1:1" ht="15">
      <c r="A109" s="85"/>
    </row>
    <row r="110" spans="1:1" ht="15">
      <c r="A110" s="85"/>
    </row>
    <row r="111" spans="1:1" ht="15">
      <c r="A111" s="85"/>
    </row>
    <row r="112" spans="1:1" ht="15">
      <c r="A112" s="85"/>
    </row>
    <row r="113" spans="1:1" ht="15">
      <c r="A113" s="85"/>
    </row>
    <row r="114" spans="1:1" ht="15">
      <c r="A114" s="85"/>
    </row>
    <row r="115" spans="1:1" ht="15">
      <c r="A115" s="85"/>
    </row>
    <row r="116" spans="1:1" ht="21">
      <c r="A116" s="154"/>
    </row>
    <row r="117" spans="1:1" ht="15">
      <c r="A117" s="89"/>
    </row>
    <row r="118" spans="1:1" ht="15">
      <c r="A118" s="89"/>
    </row>
    <row r="119" spans="1:1" ht="15">
      <c r="A119" s="89"/>
    </row>
    <row r="120" spans="1:1" ht="15">
      <c r="A120" s="89"/>
    </row>
    <row r="121" spans="1:1" ht="15">
      <c r="A121" s="89"/>
    </row>
    <row r="122" spans="1:1" ht="15">
      <c r="A122" s="89"/>
    </row>
    <row r="123" spans="1:1" ht="15">
      <c r="A123" s="89"/>
    </row>
    <row r="124" spans="1:1" ht="15">
      <c r="A124" s="89"/>
    </row>
    <row r="125" spans="1:1" ht="15">
      <c r="A125" s="89"/>
    </row>
    <row r="126" spans="1:1" ht="15">
      <c r="A126" s="89"/>
    </row>
    <row r="127" spans="1:1" ht="21">
      <c r="A127" s="154"/>
    </row>
    <row r="128" spans="1:1" ht="15">
      <c r="A128" s="320"/>
    </row>
    <row r="129" spans="1:1" ht="15">
      <c r="A129" s="320"/>
    </row>
    <row r="130" spans="1:1" ht="15">
      <c r="A130" s="320"/>
    </row>
    <row r="131" spans="1:1" ht="15">
      <c r="A131" s="320"/>
    </row>
    <row r="132" spans="1:1" ht="15">
      <c r="A132" s="320"/>
    </row>
    <row r="133" spans="1:1" ht="15">
      <c r="A133" s="320"/>
    </row>
    <row r="134" spans="1:1" ht="15">
      <c r="A134" s="320"/>
    </row>
    <row r="135" spans="1:1" ht="15">
      <c r="A135" s="320"/>
    </row>
    <row r="136" spans="1:1" ht="15">
      <c r="A136" s="320"/>
    </row>
    <row r="137" spans="1:1" ht="15">
      <c r="A137" s="320"/>
    </row>
    <row r="138" spans="1:1" ht="15">
      <c r="A138" s="320"/>
    </row>
    <row r="139" spans="1:1" ht="15">
      <c r="A139" s="320"/>
    </row>
    <row r="140" spans="1:1" ht="15">
      <c r="A140" s="320"/>
    </row>
    <row r="141" spans="1:1" ht="15">
      <c r="A141" s="320"/>
    </row>
    <row r="142" spans="1:1" ht="15">
      <c r="A142" s="320"/>
    </row>
    <row r="143" spans="1:1" ht="15">
      <c r="A143" s="320"/>
    </row>
    <row r="144" spans="1:1" ht="15">
      <c r="A144" s="320"/>
    </row>
    <row r="145" spans="1:1" ht="15">
      <c r="A145" s="320"/>
    </row>
    <row r="146" spans="1:1" ht="15">
      <c r="A146" s="320"/>
    </row>
    <row r="147" spans="1:1" ht="15">
      <c r="A147" s="320"/>
    </row>
    <row r="148" spans="1:1" ht="15">
      <c r="A148" s="320"/>
    </row>
    <row r="149" spans="1:1" ht="15">
      <c r="A149" s="320"/>
    </row>
    <row r="150" spans="1:1" ht="15">
      <c r="A150" s="320"/>
    </row>
    <row r="151" spans="1:1" ht="15">
      <c r="A151" s="320"/>
    </row>
    <row r="152" spans="1:1" ht="15">
      <c r="A152" s="320"/>
    </row>
    <row r="153" spans="1:1" ht="15">
      <c r="A153" s="320"/>
    </row>
    <row r="154" spans="1:1" ht="15">
      <c r="A154" s="320"/>
    </row>
    <row r="155" spans="1:1" ht="15">
      <c r="A155" s="320"/>
    </row>
    <row r="156" spans="1:1" ht="15">
      <c r="A156" s="320"/>
    </row>
    <row r="157" spans="1:1" ht="15">
      <c r="A157" s="320"/>
    </row>
    <row r="158" spans="1:1" ht="15">
      <c r="A158" s="320"/>
    </row>
    <row r="159" spans="1:1" ht="15">
      <c r="A159" s="320"/>
    </row>
    <row r="160" spans="1:1" ht="15">
      <c r="A160" s="320"/>
    </row>
    <row r="161" spans="1:1" ht="15">
      <c r="A161" s="320"/>
    </row>
    <row r="162" spans="1:1" ht="15">
      <c r="A162" s="320"/>
    </row>
    <row r="163" spans="1:1" ht="15">
      <c r="A163" s="320"/>
    </row>
    <row r="164" spans="1:1" ht="15">
      <c r="A164" s="320"/>
    </row>
    <row r="165" spans="1:1" ht="15">
      <c r="A165" s="320"/>
    </row>
    <row r="166" spans="1:1" ht="15">
      <c r="A166" s="320"/>
    </row>
    <row r="167" spans="1:1" ht="15">
      <c r="A167" s="320"/>
    </row>
    <row r="168" spans="1:1" ht="15">
      <c r="A168" s="320"/>
    </row>
    <row r="169" spans="1:1" ht="15">
      <c r="A169" s="320"/>
    </row>
    <row r="170" spans="1:1" ht="15">
      <c r="A170" s="320"/>
    </row>
    <row r="171" spans="1:1" ht="15">
      <c r="A171" s="320"/>
    </row>
    <row r="172" spans="1:1" ht="15">
      <c r="A172" s="320"/>
    </row>
    <row r="173" spans="1:1" ht="15">
      <c r="A173" s="320"/>
    </row>
    <row r="174" spans="1:1" ht="15">
      <c r="A174" s="320"/>
    </row>
    <row r="175" spans="1:1" ht="15">
      <c r="A175" s="320"/>
    </row>
    <row r="176" spans="1:1" ht="15">
      <c r="A176" s="320"/>
    </row>
    <row r="177" spans="1:1" ht="15">
      <c r="A177" s="320"/>
    </row>
    <row r="178" spans="1:1" ht="21">
      <c r="A178" s="154" t="s">
        <v>1860</v>
      </c>
    </row>
    <row r="179" spans="1:1" ht="15">
      <c r="A179" s="82"/>
    </row>
    <row r="180" spans="1:1" ht="15">
      <c r="A180" s="82"/>
    </row>
    <row r="181" spans="1:1" ht="15">
      <c r="A181" s="82"/>
    </row>
    <row r="182" spans="1:1" ht="15">
      <c r="A182" s="82"/>
    </row>
    <row r="183" spans="1:1" ht="15">
      <c r="A183" s="82"/>
    </row>
    <row r="184" spans="1:1" ht="15">
      <c r="A184" s="82"/>
    </row>
    <row r="185" spans="1:1" ht="15">
      <c r="A185" s="82"/>
    </row>
    <row r="186" spans="1:1" ht="15">
      <c r="A186" s="82"/>
    </row>
    <row r="187" spans="1:1" ht="15">
      <c r="A187" s="82"/>
    </row>
    <row r="188" spans="1:1" ht="15">
      <c r="A188" s="82"/>
    </row>
    <row r="189" spans="1:1" ht="15">
      <c r="A189" s="82"/>
    </row>
    <row r="190" spans="1:1" ht="15">
      <c r="A190" s="82"/>
    </row>
    <row r="191" spans="1:1" ht="15">
      <c r="A191" s="82"/>
    </row>
    <row r="192" spans="1:1" ht="15">
      <c r="A192" s="82"/>
    </row>
    <row r="193" spans="1:1" ht="15">
      <c r="A193" s="82"/>
    </row>
    <row r="194" spans="1:1" ht="15">
      <c r="A194" s="82"/>
    </row>
    <row r="195" spans="1:1" ht="15">
      <c r="A195" s="82"/>
    </row>
    <row r="196" spans="1:1" ht="15">
      <c r="A196" s="82"/>
    </row>
    <row r="197" spans="1:1" ht="15">
      <c r="A197" s="82"/>
    </row>
    <row r="198" spans="1:1" ht="15">
      <c r="A198" s="82"/>
    </row>
    <row r="199" spans="1:1" ht="15">
      <c r="A199" s="82"/>
    </row>
    <row r="200" spans="1:1" ht="15">
      <c r="A200" s="82"/>
    </row>
    <row r="201" spans="1:1" ht="15">
      <c r="A201" s="82"/>
    </row>
    <row r="202" spans="1:1" ht="15">
      <c r="A202" s="82"/>
    </row>
    <row r="203" spans="1:1" ht="15">
      <c r="A203" s="82"/>
    </row>
    <row r="204" spans="1:1" ht="15">
      <c r="A204" s="82"/>
    </row>
    <row r="205" spans="1:1" ht="15">
      <c r="A205" s="82"/>
    </row>
    <row r="206" spans="1:1" ht="15">
      <c r="A206" s="82"/>
    </row>
    <row r="207" spans="1:1" ht="15">
      <c r="A207" s="82"/>
    </row>
    <row r="208" spans="1:1" ht="15">
      <c r="A208" s="82"/>
    </row>
    <row r="209" spans="1:1" ht="15">
      <c r="A209" s="82"/>
    </row>
    <row r="210" spans="1:1" ht="15">
      <c r="A210" s="82"/>
    </row>
    <row r="211" spans="1:1" ht="15">
      <c r="A211" s="82"/>
    </row>
    <row r="212" spans="1:1" ht="15">
      <c r="A212" s="82"/>
    </row>
    <row r="213" spans="1:1" ht="15">
      <c r="A213" s="82"/>
    </row>
    <row r="214" spans="1:1" ht="15">
      <c r="A214" s="82"/>
    </row>
    <row r="215" spans="1:1" ht="15">
      <c r="A215" s="82"/>
    </row>
    <row r="216" spans="1:1" ht="15">
      <c r="A216" s="82"/>
    </row>
    <row r="217" spans="1:1" ht="15">
      <c r="A217" s="82"/>
    </row>
    <row r="218" spans="1:1" ht="15">
      <c r="A218" s="82"/>
    </row>
    <row r="219" spans="1:1" ht="15">
      <c r="A219" s="82"/>
    </row>
    <row r="220" spans="1:1" ht="15">
      <c r="A220" s="82"/>
    </row>
    <row r="221" spans="1:1" ht="15">
      <c r="A221" s="82"/>
    </row>
    <row r="222" spans="1:1" ht="15">
      <c r="A222" s="82"/>
    </row>
    <row r="223" spans="1:1" ht="15">
      <c r="A223" s="82"/>
    </row>
    <row r="224" spans="1:1" ht="15">
      <c r="A224" s="82"/>
    </row>
    <row r="225" spans="1:1" ht="15">
      <c r="A225" s="82"/>
    </row>
    <row r="226" spans="1:1" ht="15">
      <c r="A226" s="82"/>
    </row>
    <row r="227" spans="1:1" ht="15">
      <c r="A227" s="82"/>
    </row>
    <row r="228" spans="1:1" ht="15">
      <c r="A228" s="82"/>
    </row>
    <row r="229" spans="1:1" ht="15">
      <c r="A229" s="82"/>
    </row>
    <row r="230" spans="1:1" ht="15">
      <c r="A230" s="82"/>
    </row>
    <row r="231" spans="1:1" ht="15">
      <c r="A231" s="82"/>
    </row>
    <row r="232" spans="1:1" ht="15">
      <c r="A232" s="82"/>
    </row>
    <row r="233" spans="1:1" ht="15">
      <c r="A233" s="82"/>
    </row>
    <row r="234" spans="1:1" ht="15">
      <c r="A234" s="82"/>
    </row>
    <row r="235" spans="1:1" ht="15">
      <c r="A235" s="82"/>
    </row>
    <row r="236" spans="1:1" ht="15">
      <c r="A236" s="82"/>
    </row>
    <row r="237" spans="1:1" ht="15">
      <c r="A237" s="82"/>
    </row>
    <row r="238" spans="1:1" ht="15">
      <c r="A238" s="82"/>
    </row>
    <row r="239" spans="1:1" ht="15">
      <c r="A239" s="82"/>
    </row>
    <row r="240" spans="1:1" ht="15">
      <c r="A240" s="82"/>
    </row>
    <row r="241" spans="1:1" ht="15">
      <c r="A241" s="82"/>
    </row>
    <row r="242" spans="1:1" ht="15">
      <c r="A242" s="82"/>
    </row>
    <row r="243" spans="1:1" ht="15">
      <c r="A243" s="82"/>
    </row>
    <row r="244" spans="1:1" ht="15">
      <c r="A244" s="82"/>
    </row>
    <row r="245" spans="1:1" ht="15">
      <c r="A245" s="82"/>
    </row>
    <row r="246" spans="1:1" ht="15">
      <c r="A246" s="82"/>
    </row>
    <row r="247" spans="1:1" ht="15">
      <c r="A247" s="82"/>
    </row>
    <row r="248" spans="1:1" ht="15">
      <c r="A248" s="82"/>
    </row>
    <row r="249" spans="1:1" ht="15">
      <c r="A249" s="82"/>
    </row>
    <row r="250" spans="1:1" ht="15">
      <c r="A250" s="82"/>
    </row>
    <row r="251" spans="1:1" ht="15">
      <c r="A251" s="82"/>
    </row>
    <row r="252" spans="1:1" ht="15">
      <c r="A252" s="82"/>
    </row>
    <row r="253" spans="1:1" ht="15">
      <c r="A253" s="82"/>
    </row>
    <row r="254" spans="1:1" ht="15">
      <c r="A254" s="82"/>
    </row>
    <row r="255" spans="1:1" ht="15">
      <c r="A255" s="82"/>
    </row>
    <row r="256" spans="1:1" ht="15">
      <c r="A256" s="82"/>
    </row>
    <row r="257" spans="1:1" ht="15">
      <c r="A257" s="82"/>
    </row>
    <row r="258" spans="1:1" ht="15">
      <c r="A258" s="82"/>
    </row>
    <row r="259" spans="1:1" ht="15">
      <c r="A259" s="82"/>
    </row>
    <row r="260" spans="1:1" ht="15">
      <c r="A260" s="82"/>
    </row>
    <row r="261" spans="1:1" ht="15">
      <c r="A261" s="82"/>
    </row>
    <row r="262" spans="1:1" ht="15">
      <c r="A262" s="82"/>
    </row>
    <row r="263" spans="1:1" ht="15">
      <c r="A263" s="82"/>
    </row>
    <row r="264" spans="1:1" ht="15">
      <c r="A264" s="82"/>
    </row>
    <row r="265" spans="1:1" ht="15">
      <c r="A265" s="82"/>
    </row>
    <row r="266" spans="1:1" ht="15">
      <c r="A266" s="82"/>
    </row>
    <row r="267" spans="1:1" ht="15">
      <c r="A267" s="82"/>
    </row>
    <row r="268" spans="1:1" ht="15">
      <c r="A268" s="82"/>
    </row>
    <row r="269" spans="1:1" ht="15">
      <c r="A269" s="82"/>
    </row>
    <row r="270" spans="1:1" ht="15">
      <c r="A270" s="82"/>
    </row>
    <row r="271" spans="1:1" ht="15">
      <c r="A271" s="82"/>
    </row>
    <row r="272" spans="1:1" ht="21">
      <c r="A272" s="270" t="s">
        <v>2077</v>
      </c>
    </row>
    <row r="273" spans="1:1" ht="15">
      <c r="A273" s="18"/>
    </row>
    <row r="274" spans="1:1" ht="15">
      <c r="A274" s="18"/>
    </row>
    <row r="275" spans="1:1" ht="15">
      <c r="A275" s="18"/>
    </row>
    <row r="276" spans="1:1" ht="15">
      <c r="A276" s="18"/>
    </row>
    <row r="277" spans="1:1" ht="15">
      <c r="A277" s="18"/>
    </row>
    <row r="278" spans="1:1" ht="15">
      <c r="A278" s="18"/>
    </row>
    <row r="279" spans="1:1" ht="15">
      <c r="A279" s="18"/>
    </row>
    <row r="280" spans="1:1" ht="15">
      <c r="A280" s="18"/>
    </row>
    <row r="281" spans="1:1" ht="15">
      <c r="A281" s="18"/>
    </row>
    <row r="282" spans="1:1" ht="15">
      <c r="A282" s="18"/>
    </row>
    <row r="283" spans="1:1" ht="15">
      <c r="A283" s="18"/>
    </row>
    <row r="284" spans="1:1" ht="15">
      <c r="A284" s="18"/>
    </row>
    <row r="285" spans="1:1" ht="15">
      <c r="A285" s="18"/>
    </row>
    <row r="286" spans="1:1" ht="15">
      <c r="A286" s="18"/>
    </row>
    <row r="287" spans="1:1" ht="15">
      <c r="A287" s="18"/>
    </row>
    <row r="288" spans="1:1" ht="15">
      <c r="A288" s="18"/>
    </row>
    <row r="289" spans="1:1" ht="15">
      <c r="A289" s="18"/>
    </row>
    <row r="290" spans="1:1" ht="15">
      <c r="A290" s="18"/>
    </row>
    <row r="291" spans="1:1" ht="15">
      <c r="A291" s="18"/>
    </row>
    <row r="292" spans="1:1" ht="15">
      <c r="A292" s="18"/>
    </row>
    <row r="293" spans="1:1" ht="15">
      <c r="A293" s="18"/>
    </row>
    <row r="294" spans="1:1" ht="15">
      <c r="A294" s="18"/>
    </row>
    <row r="295" spans="1:1" ht="15">
      <c r="A295" s="18"/>
    </row>
    <row r="296" spans="1:1" ht="15">
      <c r="A296" s="18"/>
    </row>
    <row r="297" spans="1:1" ht="15">
      <c r="A297" s="18"/>
    </row>
    <row r="298" spans="1:1" ht="15">
      <c r="A298" s="18"/>
    </row>
    <row r="299" spans="1:1" ht="15">
      <c r="A299" s="18"/>
    </row>
    <row r="300" spans="1:1" ht="15">
      <c r="A300" s="18"/>
    </row>
    <row r="301" spans="1:1" ht="15">
      <c r="A301" s="18"/>
    </row>
    <row r="302" spans="1:1" ht="15">
      <c r="A302" s="18"/>
    </row>
    <row r="303" spans="1:1" ht="15">
      <c r="A303" s="18"/>
    </row>
    <row r="304" spans="1:1" ht="15">
      <c r="A304" s="18"/>
    </row>
    <row r="305" spans="1:1" ht="15">
      <c r="A305" s="18"/>
    </row>
    <row r="306" spans="1:1" ht="15">
      <c r="A306" s="18"/>
    </row>
    <row r="307" spans="1:1" ht="15">
      <c r="A307" s="18"/>
    </row>
    <row r="308" spans="1:1" ht="15">
      <c r="A308" s="18"/>
    </row>
    <row r="309" spans="1:1" ht="15">
      <c r="A309" s="18"/>
    </row>
    <row r="310" spans="1:1" ht="15">
      <c r="A310" s="18"/>
    </row>
    <row r="311" spans="1:1" ht="15">
      <c r="A311" s="18"/>
    </row>
    <row r="312" spans="1:1" ht="18.75">
      <c r="A312" s="153" t="s">
        <v>2079</v>
      </c>
    </row>
    <row r="313" spans="1:1" ht="15">
      <c r="A313" s="82"/>
    </row>
    <row r="314" spans="1:1" ht="15">
      <c r="A314" s="82"/>
    </row>
    <row r="315" spans="1:1" ht="15">
      <c r="A315" s="82"/>
    </row>
    <row r="316" spans="1:1" ht="15">
      <c r="A316" s="82"/>
    </row>
    <row r="317" spans="1:1" ht="15">
      <c r="A317" s="82"/>
    </row>
    <row r="318" spans="1:1" ht="15">
      <c r="A318" s="82"/>
    </row>
    <row r="319" spans="1:1" ht="15">
      <c r="A319" s="82"/>
    </row>
    <row r="320" spans="1:1" ht="15">
      <c r="A320" s="82"/>
    </row>
    <row r="321" spans="1:1" ht="15">
      <c r="A321" s="82"/>
    </row>
    <row r="322" spans="1:1" ht="15">
      <c r="A322" s="82"/>
    </row>
    <row r="323" spans="1:1" ht="15">
      <c r="A323" s="82"/>
    </row>
    <row r="324" spans="1:1" ht="15">
      <c r="A324" s="82"/>
    </row>
    <row r="325" spans="1:1" ht="15">
      <c r="A325" s="82"/>
    </row>
    <row r="326" spans="1:1" ht="15">
      <c r="A326" s="82"/>
    </row>
    <row r="327" spans="1:1" ht="15">
      <c r="A327" s="82"/>
    </row>
    <row r="328" spans="1:1" ht="15">
      <c r="A328" s="82"/>
    </row>
    <row r="329" spans="1:1" ht="15">
      <c r="A329" s="82"/>
    </row>
    <row r="330" spans="1:1" ht="15">
      <c r="A330" s="82"/>
    </row>
    <row r="331" spans="1:1" ht="15">
      <c r="A331" s="82"/>
    </row>
    <row r="332" spans="1:1" ht="15">
      <c r="A332" s="82"/>
    </row>
    <row r="333" spans="1:1" ht="15">
      <c r="A333" s="82"/>
    </row>
    <row r="334" spans="1:1" ht="15">
      <c r="A334" s="82"/>
    </row>
    <row r="335" spans="1:1" ht="15">
      <c r="A335" s="82"/>
    </row>
    <row r="336" spans="1:1" ht="15">
      <c r="A336" s="82"/>
    </row>
    <row r="337" spans="1:1" ht="15">
      <c r="A337" s="82"/>
    </row>
    <row r="338" spans="1:1" ht="15">
      <c r="A338" s="82"/>
    </row>
    <row r="339" spans="1:1" ht="15">
      <c r="A339" s="82"/>
    </row>
    <row r="340" spans="1:1" ht="15">
      <c r="A340" s="82"/>
    </row>
    <row r="341" spans="1:1" ht="15">
      <c r="A341" s="82"/>
    </row>
    <row r="342" spans="1:1" ht="15">
      <c r="A342" s="82"/>
    </row>
    <row r="343" spans="1:1" ht="15">
      <c r="A343" s="82"/>
    </row>
    <row r="344" spans="1:1" ht="15">
      <c r="A344" s="82"/>
    </row>
    <row r="345" spans="1:1" ht="15">
      <c r="A345" s="82"/>
    </row>
    <row r="346" spans="1:1" ht="15">
      <c r="A346" s="82"/>
    </row>
    <row r="347" spans="1:1" ht="15">
      <c r="A347" s="82"/>
    </row>
    <row r="348" spans="1:1" ht="15">
      <c r="A348" s="82"/>
    </row>
    <row r="349" spans="1:1" ht="15">
      <c r="A349" s="82"/>
    </row>
    <row r="350" spans="1:1" ht="15">
      <c r="A350" s="82"/>
    </row>
    <row r="351" spans="1:1" ht="15">
      <c r="A351" s="82"/>
    </row>
    <row r="352" spans="1:1" ht="15">
      <c r="A352" s="82"/>
    </row>
    <row r="353" spans="1:1" ht="15">
      <c r="A353" s="82"/>
    </row>
    <row r="354" spans="1:1" ht="15">
      <c r="A354" s="82"/>
    </row>
    <row r="355" spans="1:1" ht="15">
      <c r="A355" s="82"/>
    </row>
    <row r="356" spans="1:1" ht="15">
      <c r="A356" s="82"/>
    </row>
    <row r="357" spans="1:1" ht="15">
      <c r="A357" s="82"/>
    </row>
    <row r="358" spans="1:1" ht="15">
      <c r="A358" s="82"/>
    </row>
    <row r="359" spans="1:1" ht="15">
      <c r="A359" s="82"/>
    </row>
    <row r="360" spans="1:1" ht="15">
      <c r="A360" s="82"/>
    </row>
    <row r="361" spans="1:1" ht="15">
      <c r="A361" s="82"/>
    </row>
    <row r="362" spans="1:1" ht="15">
      <c r="A362" s="82"/>
    </row>
    <row r="363" spans="1:1" ht="15">
      <c r="A363" s="82"/>
    </row>
    <row r="364" spans="1:1" ht="15">
      <c r="A364" s="82"/>
    </row>
  </sheetData>
  <autoFilter ref="A15:F316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paperSize="1" r:id="rId11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1" name="Option Button 2">
              <controlPr defaultSize="0" autoLine="0" autoPict="0">
                <macro>[0]!limpiarBombas</macro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2" name="Option Button 3">
              <controlPr defaultSize="0" autoLine="0" autoPict="0">
                <macro>[0]!LimpiarPulsadoPresu</macro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3" name="Option Button 4">
              <controlPr defaultSize="0" autoLine="0" autoPict="0">
                <macro>[0]!limpiarplacapresu</macro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4" name="Option Button 5">
              <controlPr defaultSize="0" autoLine="0" autoPict="0">
                <macro>[0]!limpiarUFpresu</macro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5" name="Option Button 6">
              <controlPr defaultSize="0" autoLine="0" autoPict="0">
                <macro>[0]!limpiarextrapresu</macro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6" name="Option Button 7">
              <controlPr defaultSize="0" autoLine="0" autoPict="0">
                <macro>[0]!limpiarisopresu</macro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7" name="Button 8">
              <controlPr defaultSize="0" print="0" autoLine="0" autoPict="0">
                <macro>[0]!compactar</macro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8" name="Button 9">
              <controlPr defaultSize="0" print="0" autoLine="0" autoPict="0">
                <macro>[0]!descompactar</macro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 topLeftCell="A1"/>
  </sheetViews>
  <sheetFormatPr defaultColWidth="11.424285714285714" defaultRowHeight="15"/>
  <sheetData/>
  <pageMargins left="0.7" right="0.7" top="0.75" bottom="0.75" header="0.3" footer="0.3"/>
</worksheet>
</file>

<file path=customXml/_rels/item1.xml.rels><?xml version="1.0" encoding="UTF-8" standalone="yes"?><Relationships xmlns="http://schemas.openxmlformats.org/package/2006/relationships"><Relationship Id="rId1" Type="http://schemas.openxmlformats.org/officeDocument/2006/relationships/customXmlProps" Target="itemProps1.xml" 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Hoja1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psiri</dc:creator>
  <cp:keywords/>
  <dc:description/>
  <cp:lastModifiedBy>Nico</cp:lastModifiedBy>
  <cp:lastPrinted>2023-07-19T12:13:26Z</cp:lastPrinted>
  <dcterms:created xsi:type="dcterms:W3CDTF">2017-06-22T18:12:13Z</dcterms:created>
  <dcterms:modified xsi:type="dcterms:W3CDTF">2023-10-21T23:31:24Z</dcterms:modified>
  <cp:category/>
</cp:coreProperties>
</file>